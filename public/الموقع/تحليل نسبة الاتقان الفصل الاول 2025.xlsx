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شغل المدرسة لجنة 20_4\"/>
    </mc:Choice>
  </mc:AlternateContent>
  <xr:revisionPtr revIDLastSave="0" documentId="8_{21D602CC-8F57-4F1B-AE7D-A9F735697E83}" xr6:coauthVersionLast="47" xr6:coauthVersionMax="47" xr10:uidLastSave="{00000000-0000-0000-0000-000000000000}"/>
  <bookViews>
    <workbookView xWindow="-110" yWindow="-110" windowWidth="19420" windowHeight="10300" activeTab="2" xr2:uid="{063BEDD0-9DFA-48BC-8AA9-391899B8903F}"/>
  </bookViews>
  <sheets>
    <sheet name="نسبة الاتقان للعام2024-2025" sheetId="6" r:id="rId1"/>
    <sheet name="نسبة الاتقان لعام 2025-2026" sheetId="1" r:id="rId2"/>
    <sheet name="تحليل المواد" sheetId="5" r:id="rId3"/>
    <sheet name="تحليل مقارن" sheetId="9" r:id="rId4"/>
  </sheets>
  <definedNames>
    <definedName name="_xlnm._FilterDatabase" localSheetId="1" hidden="1">'نسبة الاتقان لعام 2025-2026'!$B$6:$G$56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9" l="1"/>
  <c r="B25" i="9"/>
  <c r="B24" i="9"/>
  <c r="B23" i="9"/>
  <c r="B22" i="9"/>
  <c r="B21" i="9"/>
  <c r="B20" i="9"/>
  <c r="F17" i="9"/>
  <c r="E17" i="9"/>
  <c r="D17" i="9"/>
  <c r="C17" i="9"/>
  <c r="B17" i="9"/>
  <c r="F16" i="9"/>
  <c r="E16" i="9"/>
  <c r="D16" i="9"/>
  <c r="F15" i="9"/>
  <c r="E15" i="9"/>
  <c r="D15" i="9"/>
  <c r="F14" i="9"/>
  <c r="E14" i="9"/>
  <c r="D14" i="9"/>
  <c r="F13" i="9"/>
  <c r="E13" i="9"/>
  <c r="D13" i="9"/>
  <c r="F12" i="9"/>
  <c r="E12" i="9"/>
  <c r="D12" i="9"/>
  <c r="F11" i="9"/>
  <c r="E11" i="9"/>
  <c r="D11" i="9"/>
  <c r="F10" i="9"/>
  <c r="E10" i="9"/>
  <c r="D10" i="9"/>
  <c r="F9" i="9"/>
  <c r="E9" i="9"/>
  <c r="D9" i="9"/>
  <c r="F8" i="9"/>
  <c r="E8" i="9"/>
  <c r="D8" i="9"/>
  <c r="F7" i="9"/>
  <c r="E7" i="9"/>
  <c r="D7" i="9"/>
  <c r="F6" i="9"/>
  <c r="E6" i="9"/>
  <c r="D6" i="9"/>
  <c r="F5" i="9"/>
  <c r="E5" i="9"/>
  <c r="D5" i="9"/>
  <c r="O25" i="5"/>
  <c r="O24" i="5"/>
  <c r="O23" i="5"/>
  <c r="O22" i="5"/>
  <c r="O21" i="5" a="1"/>
  <c r="O21" i="5" s="1"/>
  <c r="O20" i="5"/>
  <c r="O19" i="5"/>
  <c r="P16" i="5"/>
  <c r="O16" i="5"/>
  <c r="N16" i="5"/>
  <c r="R14" i="5"/>
  <c r="Q14" i="5"/>
  <c r="P14" i="5"/>
  <c r="R13" i="5"/>
  <c r="Q13" i="5"/>
  <c r="P13" i="5"/>
  <c r="R12" i="5"/>
  <c r="Q12" i="5"/>
  <c r="P12" i="5"/>
  <c r="R11" i="5"/>
  <c r="Q11" i="5"/>
  <c r="P11" i="5"/>
  <c r="R10" i="5"/>
  <c r="Q10" i="5"/>
  <c r="P10" i="5"/>
  <c r="R9" i="5"/>
  <c r="Q9" i="5"/>
  <c r="P9" i="5"/>
  <c r="R8" i="5"/>
  <c r="Q8" i="5"/>
  <c r="P8" i="5"/>
  <c r="R7" i="5"/>
  <c r="Q7" i="5"/>
  <c r="P7" i="5"/>
  <c r="R6" i="5"/>
  <c r="Q6" i="5"/>
  <c r="P6" i="5"/>
  <c r="R5" i="5"/>
  <c r="Q5" i="5"/>
  <c r="P5" i="5"/>
  <c r="R4" i="5"/>
  <c r="Q4" i="5"/>
  <c r="P4" i="5"/>
  <c r="R3" i="5"/>
  <c r="Q3" i="5"/>
  <c r="P3" i="5"/>
  <c r="K12" i="5"/>
  <c r="K11" i="5"/>
  <c r="K10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D16" i="5" s="1"/>
  <c r="C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<sst xmlns="http://schemas.openxmlformats.org/spreadsheetml/2006/main" count="285" uniqueCount="77">
  <si>
    <t>المدرسة</t>
  </si>
  <si>
    <t>المادة</t>
  </si>
  <si>
    <t>الصف</t>
  </si>
  <si>
    <t>إجمالي عدد الطلبه</t>
  </si>
  <si>
    <t xml:space="preserve"> متقن</t>
  </si>
  <si>
    <t>نسبة الإتقان</t>
  </si>
  <si>
    <t>الحكم</t>
  </si>
  <si>
    <t>طـوى اعتيـر للتعليم الاساسى للبنين الصفوف (5-12)</t>
  </si>
  <si>
    <t>الرياضيات الأساسية</t>
  </si>
  <si>
    <t>الحادي عشر</t>
  </si>
  <si>
    <t>تحتاج إلى تدخل سريع</t>
  </si>
  <si>
    <t>العلوم البيئية</t>
  </si>
  <si>
    <t>الفيزياء</t>
  </si>
  <si>
    <t>التاسع</t>
  </si>
  <si>
    <t>العاشر</t>
  </si>
  <si>
    <t>الرياضيات المتقدمة</t>
  </si>
  <si>
    <t>اللغة الانجليزية</t>
  </si>
  <si>
    <t>الخامس</t>
  </si>
  <si>
    <t>اللغة العربية</t>
  </si>
  <si>
    <t>الرياضيات</t>
  </si>
  <si>
    <t>السابع</t>
  </si>
  <si>
    <t>العلوم</t>
  </si>
  <si>
    <t>الدراسات الاجتماعية</t>
  </si>
  <si>
    <t>الثامن</t>
  </si>
  <si>
    <t>الاحياء</t>
  </si>
  <si>
    <t>الكيمياء</t>
  </si>
  <si>
    <t>السادس</t>
  </si>
  <si>
    <t>التربية الاسلامية</t>
  </si>
  <si>
    <t>غير ملائم</t>
  </si>
  <si>
    <t>ملائم</t>
  </si>
  <si>
    <t>جيد</t>
  </si>
  <si>
    <t>متميز</t>
  </si>
  <si>
    <t>العام الدراسي</t>
  </si>
  <si>
    <t>2025 -2026</t>
  </si>
  <si>
    <t>الفصل الدراسي</t>
  </si>
  <si>
    <t xml:space="preserve">الأول </t>
  </si>
  <si>
    <t>عدد الصفوف</t>
  </si>
  <si>
    <t>المتوسط العام للمدرسة</t>
  </si>
  <si>
    <t>🎯 مفتاح الألوان</t>
  </si>
  <si>
    <t>🟢 جيد (50%+)</t>
  </si>
  <si>
    <t>🟡 متوسط (30%-50%)</t>
  </si>
  <si>
    <t>🔴 ضعيف (أقل من 30%)</t>
  </si>
  <si>
    <t>📈 إحصائيات ملخصة</t>
  </si>
  <si>
    <t>أعلى مادة:</t>
  </si>
  <si>
    <t>أدنى مادة:</t>
  </si>
  <si>
    <t>المتوسط العام:</t>
  </si>
  <si>
    <t>عدد المواد:</t>
  </si>
  <si>
    <t>مواد تحتاج تدخل (&lt;30%):</t>
  </si>
  <si>
    <t>متوسط نسبة الاتقان للمواد للعام الدراسي 2024-2025</t>
  </si>
  <si>
    <t>نسبة الاتقان</t>
  </si>
  <si>
    <t>الرياضة المدرسية</t>
  </si>
  <si>
    <t>تقنية المعلومات</t>
  </si>
  <si>
    <t>📊 مقارنة نسب الإتقان بين العامين الدراسيين</t>
  </si>
  <si>
    <t>2024-2025</t>
  </si>
  <si>
    <t>2025-2026</t>
  </si>
  <si>
    <t>الفرق</t>
  </si>
  <si>
    <t>التغير %</t>
  </si>
  <si>
    <t>الاتجاه</t>
  </si>
  <si>
    <t>المتوسط العام</t>
  </si>
  <si>
    <t>📈 ملخص التحليل المقارن</t>
  </si>
  <si>
    <t>عدد المواد المتحسنة:</t>
  </si>
  <si>
    <t>عدد المواد المتراجعة:</t>
  </si>
  <si>
    <t>عدد المواد الثابتة:</t>
  </si>
  <si>
    <t>أكبر تحسن:</t>
  </si>
  <si>
    <t>أكبر تراجع:</t>
  </si>
  <si>
    <t>أفضل مادة تحسناً:</t>
  </si>
  <si>
    <t>أكثر مادة تراجعاً:</t>
  </si>
  <si>
    <t>التحليل المقارن لنسب الإتقان بين العامين الدراسيين 2024-2025 و 2025-2026</t>
  </si>
  <si>
    <t>طوى اعتير للتعليم الاساسى للبنين الصفوف (5-12)</t>
  </si>
  <si>
    <t>ملخص التحليل الإحصائي</t>
  </si>
  <si>
    <t>مفتاح الألوان</t>
  </si>
  <si>
    <t>أخضر = تحسن</t>
  </si>
  <si>
    <t>أحمر = تراجع</t>
  </si>
  <si>
    <t>أبيض = ثابت</t>
  </si>
  <si>
    <t>📊  متوسط نسبة الإتقان لكل مادة الفصل الأول للعام الدراسي 2025-2026</t>
  </si>
  <si>
    <t>📊  متوسط نسبة الإتقان لكل مادة  للعام الدراسي 2025-2024</t>
  </si>
  <si>
    <t xml:space="preserve"> نسبة الإتقان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</si>
</sst>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charset val="178"/>
      <scheme val="minor"/>
    </font>
    <font>
      <b/>
      <sz val="12"/>
      <color theme="1"/>
      <name val="Aptos Narrow"/>
      <family val="2"/>
      <charset val="178"/>
      <scheme val="minor"/>
    </font>
    <font>
      <b/>
      <sz val="11"/>
      <color rgb="FFFFFFFF"/>
      <name val="Aptos Narrow"/>
      <family val="2"/>
      <charset val="178"/>
      <scheme val="minor"/>
    </font>
    <font>
      <b/>
      <sz val="12"/>
      <color rgb="FFFFFFFF"/>
      <name val="Aptos Narrow"/>
      <family val="2"/>
      <charset val="178"/>
      <scheme val="minor"/>
    </font>
    <font>
      <sz val="14"/>
      <color theme="1"/>
      <name val="Aptos Narrow"/>
      <family val="2"/>
      <charset val="178"/>
      <scheme val="minor"/>
    </font>
    <font>
      <b/>
      <sz val="14"/>
      <color rgb="FFFFFFFF"/>
      <name val="Aptos Narrow"/>
      <family val="2"/>
      <charset val="178"/>
      <scheme val="minor"/>
    </font>
    <font>
      <b/>
      <sz val="11"/>
      <color rgb="FF1F4E79"/>
      <name val="Aptos Narrow"/>
      <family val="2"/>
      <charset val="178"/>
      <scheme val="minor"/>
    </font>
    <font>
      <b/>
      <sz val="14"/>
      <color rgb="FFFFFFFF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9" fontId="0" fillId="0" borderId="0" xfId="1" applyFont="1"/>
    <xf numFmtId="0" fontId="3" fillId="2" borderId="1" xfId="0" applyFont="1" applyFill="1" applyBorder="1"/>
    <xf numFmtId="9" fontId="3" fillId="2" borderId="1" xfId="1" applyFont="1" applyFill="1" applyBorder="1"/>
    <xf numFmtId="0" fontId="2" fillId="0" borderId="1" xfId="0" applyFont="1" applyBorder="1"/>
    <xf numFmtId="9" fontId="2" fillId="0" borderId="1" xfId="1" applyFont="1" applyBorder="1"/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9" fontId="4" fillId="3" borderId="1" xfId="1" applyFont="1" applyFill="1" applyBorder="1" applyAlignment="1">
      <alignment horizontal="center" vertical="center"/>
    </xf>
    <xf numFmtId="0" fontId="5" fillId="0" borderId="0" xfId="0" applyFont="1"/>
    <xf numFmtId="9" fontId="0" fillId="0" borderId="0" xfId="0" applyNumberFormat="1" applyAlignment="1">
      <alignment horizontal="center"/>
    </xf>
    <xf numFmtId="0" fontId="5" fillId="7" borderId="0" xfId="0" applyFont="1" applyFill="1" applyAlignment="1">
      <alignment horizontal="center"/>
    </xf>
    <xf numFmtId="0" fontId="0" fillId="7" borderId="0" xfId="0" applyFill="1"/>
    <xf numFmtId="0" fontId="7" fillId="8" borderId="0" xfId="0" applyFont="1" applyFill="1" applyAlignment="1">
      <alignment horizontal="center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2" fontId="4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0" fontId="0" fillId="0" borderId="0" xfId="0" applyNumberFormat="1"/>
    <xf numFmtId="0" fontId="7" fillId="8" borderId="0" xfId="0" applyFont="1" applyFill="1"/>
    <xf numFmtId="0" fontId="5" fillId="5" borderId="1" xfId="0" applyFont="1" applyFill="1" applyBorder="1" applyAlignment="1">
      <alignment horizontal="center"/>
    </xf>
    <xf numFmtId="0" fontId="5" fillId="12" borderId="0" xfId="0" applyFont="1" applyFill="1"/>
    <xf numFmtId="10" fontId="5" fillId="12" borderId="0" xfId="0" applyNumberFormat="1" applyFont="1" applyFill="1"/>
    <xf numFmtId="0" fontId="6" fillId="13" borderId="0" xfId="0" applyFont="1" applyFill="1"/>
    <xf numFmtId="0" fontId="8" fillId="8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10" fontId="11" fillId="0" borderId="0" xfId="0" applyNumberFormat="1" applyFont="1" applyAlignment="1">
      <alignment horizontal="center"/>
    </xf>
    <xf numFmtId="0" fontId="7" fillId="16" borderId="0" xfId="0" applyFont="1" applyFill="1"/>
    <xf numFmtId="0" fontId="7" fillId="0" borderId="0" xfId="0" applyFont="1" applyAlignment="1">
      <alignment horizontal="center"/>
    </xf>
    <xf numFmtId="0" fontId="3" fillId="17" borderId="1" xfId="0" applyFont="1" applyFill="1" applyBorder="1" applyAlignment="1">
      <alignment horizontal="center"/>
    </xf>
    <xf numFmtId="2" fontId="3" fillId="17" borderId="1" xfId="0" applyNumberFormat="1" applyFont="1" applyFill="1" applyBorder="1" applyAlignment="1">
      <alignment horizontal="center"/>
    </xf>
    <xf numFmtId="10" fontId="2" fillId="0" borderId="1" xfId="1" applyNumberFormat="1" applyFont="1" applyBorder="1"/>
    <xf numFmtId="10" fontId="5" fillId="7" borderId="0" xfId="0" applyNumberFormat="1" applyFont="1" applyFill="1"/>
    <xf numFmtId="10" fontId="4" fillId="0" borderId="0" xfId="0" applyNumberFormat="1" applyFont="1" applyAlignment="1">
      <alignment horizontal="center"/>
    </xf>
    <xf numFmtId="0" fontId="10" fillId="6" borderId="0" xfId="0" applyFont="1" applyFill="1" applyAlignment="1">
      <alignment horizontal="center"/>
    </xf>
    <xf numFmtId="0" fontId="4" fillId="0" borderId="1" xfId="0" applyFont="1" applyBorder="1"/>
    <xf numFmtId="10" fontId="4" fillId="0" borderId="1" xfId="0" applyNumberFormat="1" applyFont="1" applyBorder="1"/>
    <xf numFmtId="0" fontId="12" fillId="1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10" fontId="4" fillId="15" borderId="1" xfId="0" applyNumberFormat="1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4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متوسط نسبة الإتقان لكل مادة</a:t>
            </a:r>
            <a:r>
              <a:rPr lang="ar-OM"/>
              <a:t> العام 2025-2026</a:t>
            </a:r>
          </a:p>
          <a:p>
            <a:pPr>
              <a:defRPr b="1"/>
            </a:pPr>
            <a:endParaRPr lang="ar-S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'تحليل المواد'!$G$2</c:f>
              <c:strCache>
                <c:ptCount val="1"/>
                <c:pt idx="0">
                  <c:v>نسبة الاتقان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'تحليل المواد'!$F$3:$F$14</c:f>
              <c:strCache>
                <c:ptCount val="12"/>
                <c:pt idx="0">
                  <c:v>الاحياء</c:v>
                </c:pt>
                <c:pt idx="1">
                  <c:v>التربية الاسلامية</c:v>
                </c:pt>
                <c:pt idx="2">
                  <c:v>الدراسات الاجتماعية</c:v>
                </c:pt>
                <c:pt idx="3">
                  <c:v>الرياضة المدرسية</c:v>
                </c:pt>
                <c:pt idx="4">
                  <c:v>الرياضيات</c:v>
                </c:pt>
                <c:pt idx="5">
                  <c:v>الرياضيات الأساسية</c:v>
                </c:pt>
                <c:pt idx="6">
                  <c:v>الرياضيات المتقدمة</c:v>
                </c:pt>
                <c:pt idx="7">
                  <c:v>العلوم</c:v>
                </c:pt>
                <c:pt idx="8">
                  <c:v>العلوم البيئية</c:v>
                </c:pt>
                <c:pt idx="9">
                  <c:v>الفيزياء</c:v>
                </c:pt>
                <c:pt idx="10">
                  <c:v>الكيمياء</c:v>
                </c:pt>
                <c:pt idx="11">
                  <c:v>اللغة الانجليزية</c:v>
                </c:pt>
              </c:strCache>
            </c:strRef>
          </c:cat>
          <c:val>
            <c:numRef>
              <c:f>'تحليل المواد'!$G$3:$G$14</c:f>
              <c:numCache>
                <c:formatCode>0.00</c:formatCode>
                <c:ptCount val="12"/>
                <c:pt idx="0">
                  <c:v>17.595108695652172</c:v>
                </c:pt>
                <c:pt idx="1">
                  <c:v>60.309954568889722</c:v>
                </c:pt>
                <c:pt idx="2">
                  <c:v>45.067875427814627</c:v>
                </c:pt>
                <c:pt idx="3">
                  <c:v>100</c:v>
                </c:pt>
                <c:pt idx="4">
                  <c:v>20.197666302930674</c:v>
                </c:pt>
                <c:pt idx="5">
                  <c:v>0</c:v>
                </c:pt>
                <c:pt idx="6">
                  <c:v>6.25</c:v>
                </c:pt>
                <c:pt idx="7">
                  <c:v>30.061318448500653</c:v>
                </c:pt>
                <c:pt idx="8">
                  <c:v>0</c:v>
                </c:pt>
                <c:pt idx="9">
                  <c:v>8.8315217391304355</c:v>
                </c:pt>
                <c:pt idx="10">
                  <c:v>9.5561594202898537</c:v>
                </c:pt>
                <c:pt idx="11">
                  <c:v>14.019753428835964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7-49EC-A981-A8AC3D14C1E2}"/>
            </c:ext>
          </c:extLst>
        </c:ser>
        <c:ser>
          <c:idx val="1"/>
          <c:order val="1"/>
          <c:tx>
            <c:strRef>
              <c:f>'تحليل المواد'!$H$2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'تحليل المواد'!$F$3:$F$14</c:f>
              <c:strCache>
                <c:ptCount val="12"/>
                <c:pt idx="0">
                  <c:v>الاحياء</c:v>
                </c:pt>
                <c:pt idx="1">
                  <c:v>التربية الاسلامية</c:v>
                </c:pt>
                <c:pt idx="2">
                  <c:v>الدراسات الاجتماعية</c:v>
                </c:pt>
                <c:pt idx="3">
                  <c:v>الرياضة المدرسية</c:v>
                </c:pt>
                <c:pt idx="4">
                  <c:v>الرياضيات</c:v>
                </c:pt>
                <c:pt idx="5">
                  <c:v>الرياضيات الأساسية</c:v>
                </c:pt>
                <c:pt idx="6">
                  <c:v>الرياضيات المتقدمة</c:v>
                </c:pt>
                <c:pt idx="7">
                  <c:v>العلوم</c:v>
                </c:pt>
                <c:pt idx="8">
                  <c:v>العلوم البيئية</c:v>
                </c:pt>
                <c:pt idx="9">
                  <c:v>الفيزياء</c:v>
                </c:pt>
                <c:pt idx="10">
                  <c:v>الكيمياء</c:v>
                </c:pt>
                <c:pt idx="11">
                  <c:v>اللغة الانجليزية</c:v>
                </c:pt>
              </c:strCache>
            </c:strRef>
          </c:cat>
          <c:val>
            <c:numRef>
              <c:f>'تحليل المواد'!$H$3:$H$14</c:f>
              <c:numCache>
                <c:formatCode>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BAB7-49EC-A981-A8AC3D14C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125440"/>
        <c:axId val="188943888"/>
      </c:barChart>
      <c:catAx>
        <c:axId val="50125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43888"/>
        <c:crosses val="autoZero"/>
        <c:auto val="1"/>
        <c:lblAlgn val="ctr"/>
        <c:lblOffset val="100"/>
        <c:noMultiLvlLbl val="0"/>
      </c:catAx>
      <c:valAx>
        <c:axId val="18894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16</xdr:row>
      <xdr:rowOff>139700</xdr:rowOff>
    </xdr:from>
    <xdr:to>
      <xdr:col>6</xdr:col>
      <xdr:colOff>882650</xdr:colOff>
      <xdr:row>30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FBA05C-CE70-5C36-5B66-8E3E48751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0023-0B35-47B5-ADBC-F977B316CDC3}">
  <dimension ref="A3:B19"/>
  <sheetViews>
    <sheetView rightToLeft="1" topLeftCell="A6" workbookViewId="0">
      <selection activeCell="E11" sqref="E11"/>
    </sheetView>
  </sheetViews>
  <sheetFormatPr defaultRowHeight="14" x14ac:dyDescent="0.3"/>
  <cols>
    <col min="1" max="1" width="42.33203125" bestFit="1" customWidth="1"/>
    <col min="2" max="2" width="10.25" bestFit="1" customWidth="1"/>
    <col min="4" max="6" width="8.6640625" customWidth="1"/>
  </cols>
  <sheetData>
    <row r="3" spans="1:2" x14ac:dyDescent="0.3">
      <c r="A3" s="52" t="s">
        <v>48</v>
      </c>
      <c r="B3" s="52"/>
    </row>
    <row r="4" spans="1:2" x14ac:dyDescent="0.3">
      <c r="A4" s="53"/>
      <c r="B4" s="53"/>
    </row>
    <row r="5" spans="1:2" ht="18.5" x14ac:dyDescent="0.45">
      <c r="A5" s="20" t="s">
        <v>7</v>
      </c>
      <c r="B5" s="21" t="s">
        <v>49</v>
      </c>
    </row>
    <row r="6" spans="1:2" ht="18.5" x14ac:dyDescent="0.45">
      <c r="A6" s="22" t="s">
        <v>24</v>
      </c>
      <c r="B6" s="23">
        <v>17.595108695652172</v>
      </c>
    </row>
    <row r="7" spans="1:2" ht="18.5" x14ac:dyDescent="0.45">
      <c r="A7" s="22" t="s">
        <v>27</v>
      </c>
      <c r="B7" s="23">
        <v>60.309954568889722</v>
      </c>
    </row>
    <row r="8" spans="1:2" ht="18.5" x14ac:dyDescent="0.45">
      <c r="A8" s="22" t="s">
        <v>22</v>
      </c>
      <c r="B8" s="23">
        <v>45.067875427814627</v>
      </c>
    </row>
    <row r="9" spans="1:2" ht="18.5" x14ac:dyDescent="0.45">
      <c r="A9" s="22" t="s">
        <v>50</v>
      </c>
      <c r="B9" s="23">
        <v>100</v>
      </c>
    </row>
    <row r="10" spans="1:2" ht="18.5" x14ac:dyDescent="0.45">
      <c r="A10" s="22" t="s">
        <v>19</v>
      </c>
      <c r="B10" s="23">
        <v>20.197666302930674</v>
      </c>
    </row>
    <row r="11" spans="1:2" ht="18.5" x14ac:dyDescent="0.45">
      <c r="A11" s="22" t="s">
        <v>8</v>
      </c>
      <c r="B11" s="23">
        <v>0</v>
      </c>
    </row>
    <row r="12" spans="1:2" ht="18.5" x14ac:dyDescent="0.45">
      <c r="A12" s="22" t="s">
        <v>15</v>
      </c>
      <c r="B12" s="23">
        <v>6.25</v>
      </c>
    </row>
    <row r="13" spans="1:2" ht="18.5" x14ac:dyDescent="0.45">
      <c r="A13" s="22" t="s">
        <v>21</v>
      </c>
      <c r="B13" s="23">
        <v>30.061318448500653</v>
      </c>
    </row>
    <row r="14" spans="1:2" ht="18.5" x14ac:dyDescent="0.45">
      <c r="A14" s="22" t="s">
        <v>11</v>
      </c>
      <c r="B14" s="23">
        <v>0</v>
      </c>
    </row>
    <row r="15" spans="1:2" ht="18.5" x14ac:dyDescent="0.45">
      <c r="A15" s="22" t="s">
        <v>12</v>
      </c>
      <c r="B15" s="23">
        <v>8.8315217391304355</v>
      </c>
    </row>
    <row r="16" spans="1:2" ht="18.5" x14ac:dyDescent="0.45">
      <c r="A16" s="22" t="s">
        <v>25</v>
      </c>
      <c r="B16" s="23">
        <v>9.5561594202898537</v>
      </c>
    </row>
    <row r="17" spans="1:2" ht="18.5" x14ac:dyDescent="0.45">
      <c r="A17" s="22" t="s">
        <v>16</v>
      </c>
      <c r="B17" s="23">
        <v>14.019753428835964</v>
      </c>
    </row>
    <row r="18" spans="1:2" ht="18.5" x14ac:dyDescent="0.45">
      <c r="A18" s="22" t="s">
        <v>18</v>
      </c>
      <c r="B18" s="23">
        <v>29.100246811650642</v>
      </c>
    </row>
    <row r="19" spans="1:2" ht="18.5" x14ac:dyDescent="0.45">
      <c r="A19" s="22" t="s">
        <v>51</v>
      </c>
      <c r="B19" s="23">
        <v>52.941176470588239</v>
      </c>
    </row>
  </sheetData>
  <mergeCells count="1">
    <mergeCell ref="A3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2623-A027-4187-B934-EC5F98EC8BE1}">
  <dimension ref="B2:G56"/>
  <sheetViews>
    <sheetView rightToLeft="1" workbookViewId="0">
      <selection activeCell="J46" sqref="J46"/>
    </sheetView>
  </sheetViews>
  <sheetFormatPr defaultRowHeight="14" x14ac:dyDescent="0.3"/>
  <cols>
    <col min="2" max="2" width="17.83203125" customWidth="1"/>
    <col min="3" max="3" width="12.5" customWidth="1"/>
    <col min="4" max="4" width="12.25" bestFit="1" customWidth="1"/>
    <col min="6" max="6" width="12.75" style="1" customWidth="1"/>
    <col min="7" max="7" width="14.08203125" bestFit="1" customWidth="1"/>
  </cols>
  <sheetData>
    <row r="2" spans="2:7" ht="18.5" x14ac:dyDescent="0.45">
      <c r="B2" s="2" t="s">
        <v>0</v>
      </c>
      <c r="C2" s="2" t="s">
        <v>7</v>
      </c>
      <c r="D2" s="2"/>
      <c r="E2" s="2"/>
      <c r="F2" s="3"/>
    </row>
    <row r="3" spans="2:7" ht="18.5" x14ac:dyDescent="0.45">
      <c r="B3" s="2" t="s">
        <v>32</v>
      </c>
      <c r="C3" s="54" t="s">
        <v>33</v>
      </c>
      <c r="D3" s="55"/>
      <c r="E3" s="55"/>
      <c r="F3" s="56"/>
    </row>
    <row r="4" spans="2:7" ht="18.5" x14ac:dyDescent="0.45">
      <c r="B4" s="2" t="s">
        <v>34</v>
      </c>
      <c r="C4" s="54" t="s">
        <v>35</v>
      </c>
      <c r="D4" s="55"/>
      <c r="E4" s="55"/>
      <c r="F4" s="56"/>
    </row>
    <row r="6" spans="2:7" ht="37" x14ac:dyDescent="0.45">
      <c r="B6" s="7" t="s">
        <v>1</v>
      </c>
      <c r="C6" s="7" t="s">
        <v>2</v>
      </c>
      <c r="D6" s="6" t="s">
        <v>3</v>
      </c>
      <c r="E6" s="7" t="s">
        <v>4</v>
      </c>
      <c r="F6" s="8" t="s">
        <v>5</v>
      </c>
      <c r="G6" s="7" t="s">
        <v>6</v>
      </c>
    </row>
    <row r="7" spans="2:7" ht="14.5" x14ac:dyDescent="0.35">
      <c r="B7" s="4" t="s">
        <v>8</v>
      </c>
      <c r="C7" s="4" t="s">
        <v>9</v>
      </c>
      <c r="D7" s="4">
        <v>27</v>
      </c>
      <c r="E7" s="4">
        <v>0</v>
      </c>
      <c r="F7" s="5">
        <v>0</v>
      </c>
      <c r="G7" s="4" t="s">
        <v>10</v>
      </c>
    </row>
    <row r="8" spans="2:7" ht="14.5" x14ac:dyDescent="0.35">
      <c r="B8" s="4" t="s">
        <v>11</v>
      </c>
      <c r="C8" s="4" t="s">
        <v>9</v>
      </c>
      <c r="D8" s="4">
        <v>27</v>
      </c>
      <c r="E8" s="4">
        <v>1</v>
      </c>
      <c r="F8" s="37">
        <v>3.7037037037037035E-2</v>
      </c>
      <c r="G8" s="4" t="s">
        <v>10</v>
      </c>
    </row>
    <row r="9" spans="2:7" ht="14.5" x14ac:dyDescent="0.35">
      <c r="B9" s="4" t="s">
        <v>12</v>
      </c>
      <c r="C9" s="4" t="s">
        <v>13</v>
      </c>
      <c r="D9" s="4">
        <v>51</v>
      </c>
      <c r="E9" s="4">
        <v>3</v>
      </c>
      <c r="F9" s="37">
        <v>5.8823529411764705E-2</v>
      </c>
      <c r="G9" s="4" t="s">
        <v>10</v>
      </c>
    </row>
    <row r="10" spans="2:7" ht="14.5" x14ac:dyDescent="0.35">
      <c r="B10" s="4" t="s">
        <v>12</v>
      </c>
      <c r="C10" s="4" t="s">
        <v>14</v>
      </c>
      <c r="D10" s="4">
        <v>34</v>
      </c>
      <c r="E10" s="4">
        <v>2</v>
      </c>
      <c r="F10" s="37">
        <v>5.8823529411764705E-2</v>
      </c>
      <c r="G10" s="4" t="s">
        <v>10</v>
      </c>
    </row>
    <row r="11" spans="2:7" ht="14.5" x14ac:dyDescent="0.35">
      <c r="B11" s="4" t="s">
        <v>15</v>
      </c>
      <c r="C11" s="4" t="s">
        <v>9</v>
      </c>
      <c r="D11" s="4">
        <v>19</v>
      </c>
      <c r="E11" s="4">
        <v>2</v>
      </c>
      <c r="F11" s="37">
        <v>0.10526315789473684</v>
      </c>
      <c r="G11" s="4" t="s">
        <v>10</v>
      </c>
    </row>
    <row r="12" spans="2:7" ht="14.5" x14ac:dyDescent="0.35">
      <c r="B12" s="4" t="s">
        <v>16</v>
      </c>
      <c r="C12" s="4" t="s">
        <v>17</v>
      </c>
      <c r="D12" s="4">
        <v>53</v>
      </c>
      <c r="E12" s="4">
        <v>6</v>
      </c>
      <c r="F12" s="37">
        <v>0.11320754716981132</v>
      </c>
      <c r="G12" s="4" t="s">
        <v>10</v>
      </c>
    </row>
    <row r="13" spans="2:7" ht="14.5" x14ac:dyDescent="0.35">
      <c r="B13" s="4" t="s">
        <v>18</v>
      </c>
      <c r="C13" s="4" t="s">
        <v>14</v>
      </c>
      <c r="D13" s="4">
        <v>34</v>
      </c>
      <c r="E13" s="4">
        <v>5</v>
      </c>
      <c r="F13" s="37">
        <v>0.14705882352941177</v>
      </c>
      <c r="G13" s="4" t="s">
        <v>10</v>
      </c>
    </row>
    <row r="14" spans="2:7" ht="14.5" x14ac:dyDescent="0.35">
      <c r="B14" s="4" t="s">
        <v>19</v>
      </c>
      <c r="C14" s="4" t="s">
        <v>20</v>
      </c>
      <c r="D14" s="4">
        <v>47</v>
      </c>
      <c r="E14" s="4">
        <v>7</v>
      </c>
      <c r="F14" s="37">
        <v>0.14893617021276595</v>
      </c>
      <c r="G14" s="4" t="s">
        <v>10</v>
      </c>
    </row>
    <row r="15" spans="2:7" ht="14.5" x14ac:dyDescent="0.35">
      <c r="B15" s="4" t="s">
        <v>18</v>
      </c>
      <c r="C15" s="4" t="s">
        <v>9</v>
      </c>
      <c r="D15" s="4">
        <v>46</v>
      </c>
      <c r="E15" s="4">
        <v>7</v>
      </c>
      <c r="F15" s="37">
        <v>0.15217391304347827</v>
      </c>
      <c r="G15" s="4" t="s">
        <v>10</v>
      </c>
    </row>
    <row r="16" spans="2:7" ht="14.5" x14ac:dyDescent="0.35">
      <c r="B16" s="4" t="s">
        <v>21</v>
      </c>
      <c r="C16" s="4" t="s">
        <v>17</v>
      </c>
      <c r="D16" s="4">
        <v>53</v>
      </c>
      <c r="E16" s="4">
        <v>9</v>
      </c>
      <c r="F16" s="37">
        <v>0.16981132075471697</v>
      </c>
      <c r="G16" s="4" t="s">
        <v>10</v>
      </c>
    </row>
    <row r="17" spans="2:7" ht="14.5" x14ac:dyDescent="0.35">
      <c r="B17" s="4" t="s">
        <v>16</v>
      </c>
      <c r="C17" s="4" t="s">
        <v>9</v>
      </c>
      <c r="D17" s="4">
        <v>46</v>
      </c>
      <c r="E17" s="4">
        <v>8</v>
      </c>
      <c r="F17" s="37">
        <v>0.17391304347826086</v>
      </c>
      <c r="G17" s="4" t="s">
        <v>10</v>
      </c>
    </row>
    <row r="18" spans="2:7" ht="14.5" x14ac:dyDescent="0.35">
      <c r="B18" s="4" t="s">
        <v>22</v>
      </c>
      <c r="C18" s="4" t="s">
        <v>14</v>
      </c>
      <c r="D18" s="4">
        <v>34</v>
      </c>
      <c r="E18" s="4">
        <v>7</v>
      </c>
      <c r="F18" s="37">
        <v>0.20588235294117646</v>
      </c>
      <c r="G18" s="4" t="s">
        <v>10</v>
      </c>
    </row>
    <row r="19" spans="2:7" ht="14.5" x14ac:dyDescent="0.35">
      <c r="B19" s="4" t="s">
        <v>19</v>
      </c>
      <c r="C19" s="4" t="s">
        <v>14</v>
      </c>
      <c r="D19" s="4">
        <v>34</v>
      </c>
      <c r="E19" s="4">
        <v>7</v>
      </c>
      <c r="F19" s="37">
        <v>0.20588235294117646</v>
      </c>
      <c r="G19" s="4" t="s">
        <v>10</v>
      </c>
    </row>
    <row r="20" spans="2:7" ht="14.5" x14ac:dyDescent="0.35">
      <c r="B20" s="4" t="s">
        <v>19</v>
      </c>
      <c r="C20" s="4" t="s">
        <v>23</v>
      </c>
      <c r="D20" s="4">
        <v>64</v>
      </c>
      <c r="E20" s="4">
        <v>15</v>
      </c>
      <c r="F20" s="37">
        <v>0.234375</v>
      </c>
      <c r="G20" s="4" t="s">
        <v>10</v>
      </c>
    </row>
    <row r="21" spans="2:7" ht="14.5" x14ac:dyDescent="0.35">
      <c r="B21" s="4" t="s">
        <v>24</v>
      </c>
      <c r="C21" s="4" t="s">
        <v>14</v>
      </c>
      <c r="D21" s="4">
        <v>34</v>
      </c>
      <c r="E21" s="4">
        <v>8</v>
      </c>
      <c r="F21" s="37">
        <v>0.23529411764705882</v>
      </c>
      <c r="G21" s="4" t="s">
        <v>10</v>
      </c>
    </row>
    <row r="22" spans="2:7" ht="14.5" x14ac:dyDescent="0.35">
      <c r="B22" s="4" t="s">
        <v>18</v>
      </c>
      <c r="C22" s="4" t="s">
        <v>23</v>
      </c>
      <c r="D22" s="4">
        <v>64</v>
      </c>
      <c r="E22" s="4">
        <v>16</v>
      </c>
      <c r="F22" s="37">
        <v>0.25</v>
      </c>
      <c r="G22" s="4" t="s">
        <v>10</v>
      </c>
    </row>
    <row r="23" spans="2:7" ht="14.5" x14ac:dyDescent="0.35">
      <c r="B23" s="4" t="s">
        <v>25</v>
      </c>
      <c r="C23" s="4" t="s">
        <v>13</v>
      </c>
      <c r="D23" s="4">
        <v>51</v>
      </c>
      <c r="E23" s="4">
        <v>13</v>
      </c>
      <c r="F23" s="37">
        <v>0.25490196078431371</v>
      </c>
      <c r="G23" s="4" t="s">
        <v>10</v>
      </c>
    </row>
    <row r="24" spans="2:7" ht="14.5" x14ac:dyDescent="0.35">
      <c r="B24" s="4" t="s">
        <v>22</v>
      </c>
      <c r="C24" s="4" t="s">
        <v>20</v>
      </c>
      <c r="D24" s="4">
        <v>47</v>
      </c>
      <c r="E24" s="4">
        <v>12</v>
      </c>
      <c r="F24" s="37">
        <v>0.25531914893617019</v>
      </c>
      <c r="G24" s="4" t="s">
        <v>10</v>
      </c>
    </row>
    <row r="25" spans="2:7" ht="14.5" x14ac:dyDescent="0.35">
      <c r="B25" s="4" t="s">
        <v>16</v>
      </c>
      <c r="C25" s="4" t="s">
        <v>14</v>
      </c>
      <c r="D25" s="4">
        <v>34</v>
      </c>
      <c r="E25" s="4">
        <v>9</v>
      </c>
      <c r="F25" s="37">
        <v>0.26470588235294118</v>
      </c>
      <c r="G25" s="4" t="s">
        <v>10</v>
      </c>
    </row>
    <row r="26" spans="2:7" ht="14.5" x14ac:dyDescent="0.35">
      <c r="B26" s="4" t="s">
        <v>18</v>
      </c>
      <c r="C26" s="4" t="s">
        <v>26</v>
      </c>
      <c r="D26" s="4">
        <v>57</v>
      </c>
      <c r="E26" s="4">
        <v>16</v>
      </c>
      <c r="F26" s="37">
        <v>0.2807017543859649</v>
      </c>
      <c r="G26" s="4" t="s">
        <v>10</v>
      </c>
    </row>
    <row r="27" spans="2:7" ht="14.5" x14ac:dyDescent="0.35">
      <c r="B27" s="4" t="s">
        <v>22</v>
      </c>
      <c r="C27" s="4" t="s">
        <v>23</v>
      </c>
      <c r="D27" s="4">
        <v>64</v>
      </c>
      <c r="E27" s="4">
        <v>18</v>
      </c>
      <c r="F27" s="37">
        <v>0.28125</v>
      </c>
      <c r="G27" s="4" t="s">
        <v>10</v>
      </c>
    </row>
    <row r="28" spans="2:7" ht="14.5" x14ac:dyDescent="0.35">
      <c r="B28" s="4" t="s">
        <v>27</v>
      </c>
      <c r="C28" s="4" t="s">
        <v>9</v>
      </c>
      <c r="D28" s="4">
        <v>46</v>
      </c>
      <c r="E28" s="4">
        <v>13</v>
      </c>
      <c r="F28" s="37">
        <v>0.28260869565217389</v>
      </c>
      <c r="G28" s="4" t="s">
        <v>10</v>
      </c>
    </row>
    <row r="29" spans="2:7" ht="14.5" x14ac:dyDescent="0.35">
      <c r="B29" s="4" t="s">
        <v>19</v>
      </c>
      <c r="C29" s="4" t="s">
        <v>13</v>
      </c>
      <c r="D29" s="4">
        <v>51</v>
      </c>
      <c r="E29" s="4">
        <v>15</v>
      </c>
      <c r="F29" s="37">
        <v>0.29411764705882354</v>
      </c>
      <c r="G29" s="4" t="s">
        <v>10</v>
      </c>
    </row>
    <row r="30" spans="2:7" ht="14.5" x14ac:dyDescent="0.35">
      <c r="B30" s="4" t="s">
        <v>16</v>
      </c>
      <c r="C30" s="4" t="s">
        <v>20</v>
      </c>
      <c r="D30" s="4">
        <v>47</v>
      </c>
      <c r="E30" s="4">
        <v>14</v>
      </c>
      <c r="F30" s="37">
        <v>0.2978723404255319</v>
      </c>
      <c r="G30" s="4" t="s">
        <v>10</v>
      </c>
    </row>
    <row r="31" spans="2:7" ht="14.5" x14ac:dyDescent="0.35">
      <c r="B31" s="4" t="s">
        <v>24</v>
      </c>
      <c r="C31" s="4" t="s">
        <v>13</v>
      </c>
      <c r="D31" s="4">
        <v>51</v>
      </c>
      <c r="E31" s="4">
        <v>16</v>
      </c>
      <c r="F31" s="37">
        <v>0.31372549019607843</v>
      </c>
      <c r="G31" s="4" t="s">
        <v>10</v>
      </c>
    </row>
    <row r="32" spans="2:7" ht="14.5" x14ac:dyDescent="0.35">
      <c r="B32" s="4" t="s">
        <v>19</v>
      </c>
      <c r="C32" s="4" t="s">
        <v>17</v>
      </c>
      <c r="D32" s="4">
        <v>53</v>
      </c>
      <c r="E32" s="4">
        <v>17</v>
      </c>
      <c r="F32" s="37">
        <v>0.32075471698113206</v>
      </c>
      <c r="G32" s="4" t="s">
        <v>10</v>
      </c>
    </row>
    <row r="33" spans="2:7" ht="14.5" x14ac:dyDescent="0.35">
      <c r="B33" s="4" t="s">
        <v>25</v>
      </c>
      <c r="C33" s="4" t="s">
        <v>14</v>
      </c>
      <c r="D33" s="4">
        <v>34</v>
      </c>
      <c r="E33" s="4">
        <v>11</v>
      </c>
      <c r="F33" s="37">
        <v>0.3235294117647059</v>
      </c>
      <c r="G33" s="4" t="s">
        <v>10</v>
      </c>
    </row>
    <row r="34" spans="2:7" ht="14.5" x14ac:dyDescent="0.35">
      <c r="B34" s="4" t="s">
        <v>16</v>
      </c>
      <c r="C34" s="4" t="s">
        <v>26</v>
      </c>
      <c r="D34" s="4">
        <v>57</v>
      </c>
      <c r="E34" s="4">
        <v>20</v>
      </c>
      <c r="F34" s="37">
        <v>0.35087719298245612</v>
      </c>
      <c r="G34" s="4" t="s">
        <v>10</v>
      </c>
    </row>
    <row r="35" spans="2:7" ht="14.5" x14ac:dyDescent="0.35">
      <c r="B35" s="4" t="s">
        <v>18</v>
      </c>
      <c r="C35" s="4" t="s">
        <v>13</v>
      </c>
      <c r="D35" s="4">
        <v>51</v>
      </c>
      <c r="E35" s="4">
        <v>18</v>
      </c>
      <c r="F35" s="37">
        <v>0.35294117647058826</v>
      </c>
      <c r="G35" s="4" t="s">
        <v>10</v>
      </c>
    </row>
    <row r="36" spans="2:7" ht="14.5" x14ac:dyDescent="0.35">
      <c r="B36" s="4" t="s">
        <v>21</v>
      </c>
      <c r="C36" s="4" t="s">
        <v>23</v>
      </c>
      <c r="D36" s="4">
        <v>64</v>
      </c>
      <c r="E36" s="4">
        <v>23</v>
      </c>
      <c r="F36" s="37">
        <v>0.359375</v>
      </c>
      <c r="G36" s="4" t="s">
        <v>10</v>
      </c>
    </row>
    <row r="37" spans="2:7" ht="14.5" x14ac:dyDescent="0.35">
      <c r="B37" s="4" t="s">
        <v>16</v>
      </c>
      <c r="C37" s="4" t="s">
        <v>23</v>
      </c>
      <c r="D37" s="4">
        <v>64</v>
      </c>
      <c r="E37" s="4">
        <v>24</v>
      </c>
      <c r="F37" s="37">
        <v>0.375</v>
      </c>
      <c r="G37" s="4" t="s">
        <v>10</v>
      </c>
    </row>
    <row r="38" spans="2:7" ht="14.5" x14ac:dyDescent="0.35">
      <c r="B38" s="4" t="s">
        <v>18</v>
      </c>
      <c r="C38" s="4" t="s">
        <v>20</v>
      </c>
      <c r="D38" s="4">
        <v>47</v>
      </c>
      <c r="E38" s="4">
        <v>19</v>
      </c>
      <c r="F38" s="37">
        <v>0.40425531914893614</v>
      </c>
      <c r="G38" s="4" t="s">
        <v>28</v>
      </c>
    </row>
    <row r="39" spans="2:7" ht="14.5" x14ac:dyDescent="0.35">
      <c r="B39" s="4" t="s">
        <v>27</v>
      </c>
      <c r="C39" s="4" t="s">
        <v>20</v>
      </c>
      <c r="D39" s="4">
        <v>47</v>
      </c>
      <c r="E39" s="4">
        <v>20</v>
      </c>
      <c r="F39" s="37">
        <v>0.42553191489361702</v>
      </c>
      <c r="G39" s="4" t="s">
        <v>28</v>
      </c>
    </row>
    <row r="40" spans="2:7" ht="14.5" x14ac:dyDescent="0.35">
      <c r="B40" s="4" t="s">
        <v>22</v>
      </c>
      <c r="C40" s="4" t="s">
        <v>17</v>
      </c>
      <c r="D40" s="4">
        <v>53</v>
      </c>
      <c r="E40" s="4">
        <v>23</v>
      </c>
      <c r="F40" s="37">
        <v>0.43396226415094341</v>
      </c>
      <c r="G40" s="4" t="s">
        <v>28</v>
      </c>
    </row>
    <row r="41" spans="2:7" ht="14.5" x14ac:dyDescent="0.35">
      <c r="B41" s="4" t="s">
        <v>12</v>
      </c>
      <c r="C41" s="4" t="s">
        <v>9</v>
      </c>
      <c r="D41" s="4">
        <v>17</v>
      </c>
      <c r="E41" s="4">
        <v>8</v>
      </c>
      <c r="F41" s="37">
        <v>0.47058823529411764</v>
      </c>
      <c r="G41" s="4" t="s">
        <v>28</v>
      </c>
    </row>
    <row r="42" spans="2:7" ht="14.5" x14ac:dyDescent="0.35">
      <c r="B42" s="4" t="s">
        <v>22</v>
      </c>
      <c r="C42" s="4" t="s">
        <v>9</v>
      </c>
      <c r="D42" s="4">
        <v>46</v>
      </c>
      <c r="E42" s="4">
        <v>22</v>
      </c>
      <c r="F42" s="37">
        <v>0.47826086956521741</v>
      </c>
      <c r="G42" s="4" t="s">
        <v>28</v>
      </c>
    </row>
    <row r="43" spans="2:7" ht="14.5" x14ac:dyDescent="0.35">
      <c r="B43" s="4" t="s">
        <v>16</v>
      </c>
      <c r="C43" s="4" t="s">
        <v>13</v>
      </c>
      <c r="D43" s="4">
        <v>51</v>
      </c>
      <c r="E43" s="4">
        <v>25</v>
      </c>
      <c r="F43" s="37">
        <v>0.49019607843137253</v>
      </c>
      <c r="G43" s="4" t="s">
        <v>28</v>
      </c>
    </row>
    <row r="44" spans="2:7" ht="14.5" x14ac:dyDescent="0.35">
      <c r="B44" s="4" t="s">
        <v>24</v>
      </c>
      <c r="C44" s="4" t="s">
        <v>9</v>
      </c>
      <c r="D44" s="4">
        <v>6</v>
      </c>
      <c r="E44" s="4">
        <v>3</v>
      </c>
      <c r="F44" s="37">
        <v>0.5</v>
      </c>
      <c r="G44" s="4" t="s">
        <v>29</v>
      </c>
    </row>
    <row r="45" spans="2:7" ht="14.5" x14ac:dyDescent="0.35">
      <c r="B45" s="4" t="s">
        <v>25</v>
      </c>
      <c r="C45" s="4" t="s">
        <v>9</v>
      </c>
      <c r="D45" s="4">
        <v>19</v>
      </c>
      <c r="E45" s="4">
        <v>10</v>
      </c>
      <c r="F45" s="37">
        <v>0.52631578947368418</v>
      </c>
      <c r="G45" s="4" t="s">
        <v>29</v>
      </c>
    </row>
    <row r="46" spans="2:7" ht="14.5" x14ac:dyDescent="0.35">
      <c r="B46" s="4" t="s">
        <v>18</v>
      </c>
      <c r="C46" s="4" t="s">
        <v>17</v>
      </c>
      <c r="D46" s="4">
        <v>53</v>
      </c>
      <c r="E46" s="4">
        <v>28</v>
      </c>
      <c r="F46" s="37">
        <v>0.52830188679245282</v>
      </c>
      <c r="G46" s="4" t="s">
        <v>29</v>
      </c>
    </row>
    <row r="47" spans="2:7" ht="14.5" x14ac:dyDescent="0.35">
      <c r="B47" s="4" t="s">
        <v>27</v>
      </c>
      <c r="C47" s="4" t="s">
        <v>23</v>
      </c>
      <c r="D47" s="4">
        <v>64</v>
      </c>
      <c r="E47" s="4">
        <v>34</v>
      </c>
      <c r="F47" s="37">
        <v>0.53125</v>
      </c>
      <c r="G47" s="4" t="s">
        <v>29</v>
      </c>
    </row>
    <row r="48" spans="2:7" ht="14.5" x14ac:dyDescent="0.35">
      <c r="B48" s="4" t="s">
        <v>21</v>
      </c>
      <c r="C48" s="4" t="s">
        <v>26</v>
      </c>
      <c r="D48" s="4">
        <v>57</v>
      </c>
      <c r="E48" s="4">
        <v>32</v>
      </c>
      <c r="F48" s="37">
        <v>0.56140350877192979</v>
      </c>
      <c r="G48" s="4" t="s">
        <v>29</v>
      </c>
    </row>
    <row r="49" spans="2:7" ht="14.5" x14ac:dyDescent="0.35">
      <c r="B49" s="4" t="s">
        <v>19</v>
      </c>
      <c r="C49" s="4" t="s">
        <v>26</v>
      </c>
      <c r="D49" s="4">
        <v>57</v>
      </c>
      <c r="E49" s="4">
        <v>32</v>
      </c>
      <c r="F49" s="37">
        <v>0.56140350877192979</v>
      </c>
      <c r="G49" s="4" t="s">
        <v>29</v>
      </c>
    </row>
    <row r="50" spans="2:7" ht="14.5" x14ac:dyDescent="0.35">
      <c r="B50" s="4" t="s">
        <v>27</v>
      </c>
      <c r="C50" s="4" t="s">
        <v>13</v>
      </c>
      <c r="D50" s="4">
        <v>51</v>
      </c>
      <c r="E50" s="4">
        <v>29</v>
      </c>
      <c r="F50" s="37">
        <v>0.56862745098039214</v>
      </c>
      <c r="G50" s="4" t="s">
        <v>29</v>
      </c>
    </row>
    <row r="51" spans="2:7" ht="14.5" x14ac:dyDescent="0.35">
      <c r="B51" s="4" t="s">
        <v>27</v>
      </c>
      <c r="C51" s="4" t="s">
        <v>14</v>
      </c>
      <c r="D51" s="4">
        <v>34</v>
      </c>
      <c r="E51" s="4">
        <v>20</v>
      </c>
      <c r="F51" s="37">
        <v>0.58823529411764708</v>
      </c>
      <c r="G51" s="4" t="s">
        <v>29</v>
      </c>
    </row>
    <row r="52" spans="2:7" ht="14.5" x14ac:dyDescent="0.35">
      <c r="B52" s="4" t="s">
        <v>21</v>
      </c>
      <c r="C52" s="4" t="s">
        <v>20</v>
      </c>
      <c r="D52" s="4">
        <v>47</v>
      </c>
      <c r="E52" s="4">
        <v>29</v>
      </c>
      <c r="F52" s="37">
        <v>0.61702127659574468</v>
      </c>
      <c r="G52" s="4" t="s">
        <v>30</v>
      </c>
    </row>
    <row r="53" spans="2:7" ht="14.5" x14ac:dyDescent="0.35">
      <c r="B53" s="4" t="s">
        <v>22</v>
      </c>
      <c r="C53" s="4" t="s">
        <v>13</v>
      </c>
      <c r="D53" s="4">
        <v>51</v>
      </c>
      <c r="E53" s="4">
        <v>33</v>
      </c>
      <c r="F53" s="37">
        <v>0.6470588235294118</v>
      </c>
      <c r="G53" s="4" t="s">
        <v>30</v>
      </c>
    </row>
    <row r="54" spans="2:7" ht="14.5" x14ac:dyDescent="0.35">
      <c r="B54" s="4" t="s">
        <v>27</v>
      </c>
      <c r="C54" s="4" t="s">
        <v>17</v>
      </c>
      <c r="D54" s="4">
        <v>53</v>
      </c>
      <c r="E54" s="4">
        <v>36</v>
      </c>
      <c r="F54" s="37">
        <v>0.67924528301886788</v>
      </c>
      <c r="G54" s="4" t="s">
        <v>30</v>
      </c>
    </row>
    <row r="55" spans="2:7" ht="14.5" x14ac:dyDescent="0.35">
      <c r="B55" s="4" t="s">
        <v>22</v>
      </c>
      <c r="C55" s="4" t="s">
        <v>26</v>
      </c>
      <c r="D55" s="4">
        <v>57</v>
      </c>
      <c r="E55" s="4">
        <v>40</v>
      </c>
      <c r="F55" s="37">
        <v>0.70175438596491224</v>
      </c>
      <c r="G55" s="4" t="s">
        <v>31</v>
      </c>
    </row>
    <row r="56" spans="2:7" ht="14.5" x14ac:dyDescent="0.35">
      <c r="B56" s="4" t="s">
        <v>27</v>
      </c>
      <c r="C56" s="4" t="s">
        <v>26</v>
      </c>
      <c r="D56" s="4">
        <v>57</v>
      </c>
      <c r="E56" s="4">
        <v>41</v>
      </c>
      <c r="F56" s="37">
        <v>0.7192982456140351</v>
      </c>
      <c r="G56" s="4" t="s">
        <v>31</v>
      </c>
    </row>
  </sheetData>
  <mergeCells count="2">
    <mergeCell ref="C3:F3"/>
    <mergeCell ref="C4:F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A03B-DF6A-44CF-9269-6084324508E8}">
  <dimension ref="A1:R25"/>
  <sheetViews>
    <sheetView rightToLeft="1" tabSelected="1" workbookViewId="0">
      <selection activeCell="M10" sqref="M10"/>
    </sheetView>
  </sheetViews>
  <sheetFormatPr defaultRowHeight="14" x14ac:dyDescent="0.3"/>
  <cols>
    <col min="2" max="2" width="20.25" customWidth="1"/>
    <col min="3" max="3" width="10.6640625" customWidth="1"/>
    <col min="4" max="4" width="17.25" customWidth="1"/>
    <col min="6" max="6" width="25" customWidth="1"/>
    <col min="7" max="7" width="13.33203125" customWidth="1"/>
    <col min="8" max="8" width="1.6640625" customWidth="1"/>
    <col min="9" max="9" width="0.9140625" customWidth="1"/>
    <col min="10" max="10" width="21.6640625" customWidth="1"/>
    <col min="11" max="11" width="9.5" customWidth="1"/>
    <col min="12" max="12" width="1.4140625" customWidth="1"/>
    <col min="13" max="13" width="17" customWidth="1"/>
    <col min="14" max="14" width="11.83203125" customWidth="1"/>
    <col min="15" max="15" width="11.33203125" customWidth="1"/>
    <col min="16" max="16" width="10.83203125" customWidth="1"/>
    <col min="17" max="17" width="10.9140625" customWidth="1"/>
    <col min="18" max="18" width="11.6640625" customWidth="1"/>
  </cols>
  <sheetData>
    <row r="1" spans="1:18" ht="18" x14ac:dyDescent="0.4">
      <c r="A1" s="50" t="s">
        <v>74</v>
      </c>
      <c r="B1" s="50"/>
      <c r="C1" s="50"/>
      <c r="D1" s="50"/>
      <c r="E1" s="51" t="s">
        <v>75</v>
      </c>
      <c r="F1" s="51"/>
      <c r="G1" s="51"/>
      <c r="H1" s="51"/>
      <c r="M1" s="48" t="s">
        <v>52</v>
      </c>
      <c r="N1" s="49"/>
      <c r="O1" s="49"/>
      <c r="P1" s="49"/>
      <c r="Q1" s="49"/>
      <c r="R1" s="49"/>
    </row>
    <row r="2" spans="1:18" ht="18.5" x14ac:dyDescent="0.45">
      <c r="B2" s="40" t="s">
        <v>1</v>
      </c>
      <c r="C2" s="40" t="s">
        <v>36</v>
      </c>
      <c r="D2" s="40" t="s">
        <v>76</v>
      </c>
      <c r="F2" s="35" t="s">
        <v>1</v>
      </c>
      <c r="G2" s="36" t="s">
        <v>49</v>
      </c>
      <c r="H2" s="34"/>
      <c r="J2" s="13" t="s">
        <v>38</v>
      </c>
      <c r="M2" s="26" t="s">
        <v>1</v>
      </c>
      <c r="N2" s="26" t="s">
        <v>53</v>
      </c>
      <c r="O2" s="26" t="s">
        <v>54</v>
      </c>
      <c r="P2" s="26" t="s">
        <v>55</v>
      </c>
      <c r="Q2" s="26" t="s">
        <v>56</v>
      </c>
      <c r="R2" s="26" t="s">
        <v>57</v>
      </c>
    </row>
    <row r="3" spans="1:18" ht="18.5" x14ac:dyDescent="0.45">
      <c r="B3" s="19" t="s">
        <v>8</v>
      </c>
      <c r="C3" s="19">
        <f>COUNTIF('نسبة الاتقان لعام 2025-2026'!B7:B56,B3)</f>
        <v>1</v>
      </c>
      <c r="D3" s="39">
        <f>IFERROR(AVERAGEIF('نسبة الاتقان لعام 2025-2026'!B7:B56,B3,'نسبة الاتقان لعام 2025-2026'!F7:F56),"لا توجد بيانات")</f>
        <v>0</v>
      </c>
      <c r="F3" s="22" t="s">
        <v>24</v>
      </c>
      <c r="G3" s="23">
        <v>17.595108695652172</v>
      </c>
      <c r="H3" s="10"/>
      <c r="J3" s="14" t="s">
        <v>39</v>
      </c>
      <c r="M3" s="41" t="s">
        <v>24</v>
      </c>
      <c r="N3" s="42">
        <v>0.17599999999999999</v>
      </c>
      <c r="O3" s="42">
        <v>0.35</v>
      </c>
      <c r="P3" s="42">
        <f t="shared" ref="P3:P14" si="0">O3-N3</f>
        <v>0.17399999999999999</v>
      </c>
      <c r="Q3" s="42">
        <f t="shared" ref="Q3:Q14" si="1">IF(N3=0,IF(O3=0,0,1),P3/N3)</f>
        <v>0.98863636363636365</v>
      </c>
      <c r="R3" s="41" t="str">
        <f t="shared" ref="R3:R14" si="2">IF(P3&gt;0.001,"📈 تحسن",IF(P3&lt;-0.001,"📉 تراجع","➡️ ثابت"))</f>
        <v>📈 تحسن</v>
      </c>
    </row>
    <row r="4" spans="1:18" ht="18.5" x14ac:dyDescent="0.45">
      <c r="B4" s="19" t="s">
        <v>11</v>
      </c>
      <c r="C4" s="19">
        <f>COUNTIF('نسبة الاتقان لعام 2025-2026'!B7:B56,B4)</f>
        <v>1</v>
      </c>
      <c r="D4" s="39">
        <f>IFERROR(AVERAGEIF('نسبة الاتقان لعام 2025-2026'!B7:B56,B4,'نسبة الاتقان لعام 2025-2026'!F7:F56),"لا توجد بيانات")</f>
        <v>3.7037037037037035E-2</v>
      </c>
      <c r="F4" s="22" t="s">
        <v>27</v>
      </c>
      <c r="G4" s="23">
        <v>60.309954568889722</v>
      </c>
      <c r="H4" s="10"/>
      <c r="J4" s="15" t="s">
        <v>40</v>
      </c>
      <c r="M4" s="41" t="s">
        <v>27</v>
      </c>
      <c r="N4" s="42">
        <v>0.60309999999999997</v>
      </c>
      <c r="O4" s="42">
        <v>0.54</v>
      </c>
      <c r="P4" s="42">
        <f t="shared" si="0"/>
        <v>-6.3099999999999934E-2</v>
      </c>
      <c r="Q4" s="42">
        <f t="shared" si="1"/>
        <v>-0.10462609849112905</v>
      </c>
      <c r="R4" s="41" t="str">
        <f t="shared" si="2"/>
        <v>📉 تراجع</v>
      </c>
    </row>
    <row r="5" spans="1:18" ht="18.5" x14ac:dyDescent="0.45">
      <c r="B5" s="19" t="s">
        <v>12</v>
      </c>
      <c r="C5" s="19">
        <f>COUNTIF('نسبة الاتقان لعام 2025-2026'!B7:B56,B5)</f>
        <v>3</v>
      </c>
      <c r="D5" s="39">
        <f>IFERROR(AVERAGEIF('نسبة الاتقان لعام 2025-2026'!B7:B56,B5,'نسبة الاتقان لعام 2025-2026'!F7:F56),"لا توجد بيانات")</f>
        <v>0.19607843137254902</v>
      </c>
      <c r="F5" s="22" t="s">
        <v>22</v>
      </c>
      <c r="G5" s="23">
        <v>45.067875427814627</v>
      </c>
      <c r="H5" s="10"/>
      <c r="J5" s="16" t="s">
        <v>41</v>
      </c>
      <c r="M5" s="41" t="s">
        <v>22</v>
      </c>
      <c r="N5" s="42">
        <v>0.45069999999999999</v>
      </c>
      <c r="O5" s="42">
        <v>0.43</v>
      </c>
      <c r="P5" s="42">
        <f t="shared" si="0"/>
        <v>-2.0699999999999996E-2</v>
      </c>
      <c r="Q5" s="42">
        <f t="shared" si="1"/>
        <v>-4.5928555580208558E-2</v>
      </c>
      <c r="R5" s="41" t="str">
        <f t="shared" si="2"/>
        <v>📉 تراجع</v>
      </c>
    </row>
    <row r="6" spans="1:18" ht="18.5" x14ac:dyDescent="0.45">
      <c r="B6" s="19" t="s">
        <v>15</v>
      </c>
      <c r="C6" s="19">
        <f>COUNTIF('نسبة الاتقان لعام 2025-2026'!B7:B56,B6)</f>
        <v>1</v>
      </c>
      <c r="D6" s="39">
        <f>IFERROR(AVERAGEIF('نسبة الاتقان لعام 2025-2026'!B7:B56,B6,'نسبة الاتقان لعام 2025-2026'!F7:F56),"لا توجد بيانات")</f>
        <v>0.10526315789473684</v>
      </c>
      <c r="F6" s="22" t="s">
        <v>50</v>
      </c>
      <c r="G6" s="23">
        <v>100</v>
      </c>
      <c r="H6" s="10"/>
      <c r="M6" s="41" t="s">
        <v>19</v>
      </c>
      <c r="N6" s="42">
        <v>0.20200000000000001</v>
      </c>
      <c r="O6" s="42">
        <v>0.28999999999999998</v>
      </c>
      <c r="P6" s="42">
        <f t="shared" si="0"/>
        <v>8.7999999999999967E-2</v>
      </c>
      <c r="Q6" s="42">
        <f t="shared" si="1"/>
        <v>0.43564356435643548</v>
      </c>
      <c r="R6" s="41" t="str">
        <f t="shared" si="2"/>
        <v>📈 تحسن</v>
      </c>
    </row>
    <row r="7" spans="1:18" ht="18.5" x14ac:dyDescent="0.45">
      <c r="B7" s="19" t="s">
        <v>16</v>
      </c>
      <c r="C7" s="19">
        <f>COUNTIF('نسبة الاتقان لعام 2025-2026'!B7:B56,B7)</f>
        <v>7</v>
      </c>
      <c r="D7" s="39">
        <f>IFERROR(AVERAGEIF('نسبة الاتقان لعام 2025-2026'!B7:B56,B7,'نسبة الاتقان لعام 2025-2026'!F7:F56),"لا توجد بيانات")</f>
        <v>0.29511029783433912</v>
      </c>
      <c r="F7" s="22" t="s">
        <v>19</v>
      </c>
      <c r="G7" s="23">
        <v>20.197666302930674</v>
      </c>
      <c r="H7" s="10"/>
      <c r="J7" s="9" t="s">
        <v>42</v>
      </c>
      <c r="M7" s="41" t="s">
        <v>8</v>
      </c>
      <c r="N7" s="42">
        <v>0</v>
      </c>
      <c r="O7" s="42">
        <v>0</v>
      </c>
      <c r="P7" s="42">
        <f t="shared" si="0"/>
        <v>0</v>
      </c>
      <c r="Q7" s="42">
        <f t="shared" si="1"/>
        <v>0</v>
      </c>
      <c r="R7" s="41" t="str">
        <f t="shared" si="2"/>
        <v>➡️ ثابت</v>
      </c>
    </row>
    <row r="8" spans="1:18" ht="18.5" x14ac:dyDescent="0.45">
      <c r="B8" s="19" t="s">
        <v>18</v>
      </c>
      <c r="C8" s="19">
        <f>COUNTIF('نسبة الاتقان لعام 2025-2026'!B7:B56,B8)</f>
        <v>7</v>
      </c>
      <c r="D8" s="39">
        <f>IFERROR(AVERAGEIF('نسبة الاتقان لعام 2025-2026'!B7:B56,B8,'نسبة الاتقان لعام 2025-2026'!F7:F56),"لا توجد بيانات")</f>
        <v>0.30220469619583318</v>
      </c>
      <c r="F8" s="22" t="s">
        <v>8</v>
      </c>
      <c r="G8" s="23">
        <v>0</v>
      </c>
      <c r="H8" s="10"/>
      <c r="J8" s="17" t="s">
        <v>43</v>
      </c>
      <c r="K8" s="17" t="s">
        <v>27</v>
      </c>
      <c r="M8" s="41" t="s">
        <v>15</v>
      </c>
      <c r="N8" s="42">
        <v>6.25E-2</v>
      </c>
      <c r="O8" s="42">
        <v>0.11</v>
      </c>
      <c r="P8" s="42">
        <f t="shared" si="0"/>
        <v>4.7500000000000001E-2</v>
      </c>
      <c r="Q8" s="42">
        <f t="shared" si="1"/>
        <v>0.76</v>
      </c>
      <c r="R8" s="41" t="str">
        <f t="shared" si="2"/>
        <v>📈 تحسن</v>
      </c>
    </row>
    <row r="9" spans="1:18" ht="18.5" x14ac:dyDescent="0.45">
      <c r="B9" s="19" t="s">
        <v>19</v>
      </c>
      <c r="C9" s="19">
        <f>COUNTIF('نسبة الاتقان لعام 2025-2026'!B7:B56,B9)</f>
        <v>6</v>
      </c>
      <c r="D9" s="39">
        <f>IFERROR(AVERAGEIF('نسبة الاتقان لعام 2025-2026'!B7:B56,B9,'نسبة الاتقان لعام 2025-2026'!F7:F56),"لا توجد بيانات")</f>
        <v>0.29424489932763798</v>
      </c>
      <c r="F9" s="22" t="s">
        <v>15</v>
      </c>
      <c r="G9" s="23">
        <v>6.25</v>
      </c>
      <c r="H9" s="10"/>
      <c r="J9" s="17" t="s">
        <v>44</v>
      </c>
      <c r="K9" s="17" t="s">
        <v>8</v>
      </c>
      <c r="M9" s="41" t="s">
        <v>21</v>
      </c>
      <c r="N9" s="42">
        <v>0.30059999999999998</v>
      </c>
      <c r="O9" s="42">
        <v>0.43</v>
      </c>
      <c r="P9" s="42">
        <f t="shared" si="0"/>
        <v>0.12940000000000002</v>
      </c>
      <c r="Q9" s="42">
        <f t="shared" si="1"/>
        <v>0.430472388556221</v>
      </c>
      <c r="R9" s="41" t="str">
        <f t="shared" si="2"/>
        <v>📈 تحسن</v>
      </c>
    </row>
    <row r="10" spans="1:18" ht="18.5" x14ac:dyDescent="0.45">
      <c r="B10" s="19" t="s">
        <v>21</v>
      </c>
      <c r="C10" s="19">
        <f>COUNTIF('نسبة الاتقان لعام 2025-2026'!B7:B56,B10)</f>
        <v>4</v>
      </c>
      <c r="D10" s="39">
        <f>IFERROR(AVERAGEIF('نسبة الاتقان لعام 2025-2026'!B7:B56,B10,'نسبة الاتقان لعام 2025-2026'!F7:F56),"لا توجد بيانات")</f>
        <v>0.42690277653059783</v>
      </c>
      <c r="F10" s="22" t="s">
        <v>21</v>
      </c>
      <c r="G10" s="23">
        <v>30.061318448500653</v>
      </c>
      <c r="H10" s="10"/>
      <c r="J10" s="17" t="s">
        <v>45</v>
      </c>
      <c r="K10" s="18" t="e">
        <f>AVERAGE(H3:H14)</f>
        <v>#DIV/0!</v>
      </c>
      <c r="M10" s="41" t="s">
        <v>11</v>
      </c>
      <c r="N10" s="42">
        <v>0</v>
      </c>
      <c r="O10" s="42">
        <v>0.04</v>
      </c>
      <c r="P10" s="42">
        <f t="shared" si="0"/>
        <v>0.04</v>
      </c>
      <c r="Q10" s="42">
        <f t="shared" si="1"/>
        <v>1</v>
      </c>
      <c r="R10" s="41" t="str">
        <f t="shared" si="2"/>
        <v>📈 تحسن</v>
      </c>
    </row>
    <row r="11" spans="1:18" ht="18.5" x14ac:dyDescent="0.45">
      <c r="B11" s="19" t="s">
        <v>22</v>
      </c>
      <c r="C11" s="19">
        <f>COUNTIF('نسبة الاتقان لعام 2025-2026'!B7:B56,B11)</f>
        <v>7</v>
      </c>
      <c r="D11" s="39">
        <f>IFERROR(AVERAGEIF('نسبة الاتقان لعام 2025-2026'!B7:B56,B11,'نسبة الاتقان لعام 2025-2026'!F7:F56),"لا توجد بيانات")</f>
        <v>0.42906969215540453</v>
      </c>
      <c r="F11" s="22" t="s">
        <v>11</v>
      </c>
      <c r="G11" s="23">
        <v>0</v>
      </c>
      <c r="H11" s="10"/>
      <c r="J11" s="17" t="s">
        <v>46</v>
      </c>
      <c r="K11" s="17">
        <f>COUNT(H3:H14)</f>
        <v>0</v>
      </c>
      <c r="M11" s="41" t="s">
        <v>12</v>
      </c>
      <c r="N11" s="42">
        <v>8.8300000000000003E-2</v>
      </c>
      <c r="O11" s="42">
        <v>0.2</v>
      </c>
      <c r="P11" s="42">
        <f t="shared" si="0"/>
        <v>0.11170000000000001</v>
      </c>
      <c r="Q11" s="42">
        <f t="shared" si="1"/>
        <v>1.2650056625141564</v>
      </c>
      <c r="R11" s="41" t="str">
        <f t="shared" si="2"/>
        <v>📈 تحسن</v>
      </c>
    </row>
    <row r="12" spans="1:18" ht="18.5" x14ac:dyDescent="0.45">
      <c r="B12" s="19" t="s">
        <v>27</v>
      </c>
      <c r="C12" s="19">
        <f>COUNTIF('نسبة الاتقان لعام 2025-2026'!B7:B56,B12)</f>
        <v>7</v>
      </c>
      <c r="D12" s="39">
        <f>IFERROR(AVERAGEIF('نسبة الاتقان لعام 2025-2026'!B7:B56,B12,'نسبة الاتقان لعام 2025-2026'!F7:F56),"لا توجد بيانات")</f>
        <v>0.54211384061096191</v>
      </c>
      <c r="F12" s="22" t="s">
        <v>12</v>
      </c>
      <c r="G12" s="23">
        <v>8.8315217391304355</v>
      </c>
      <c r="H12" s="10"/>
      <c r="J12" s="17" t="s">
        <v>47</v>
      </c>
      <c r="K12" s="17">
        <f>COUNTIF(H3:H14,"&lt;0.3")</f>
        <v>0</v>
      </c>
      <c r="M12" s="41" t="s">
        <v>25</v>
      </c>
      <c r="N12" s="42">
        <v>9.5600000000000004E-2</v>
      </c>
      <c r="O12" s="42">
        <v>0.37</v>
      </c>
      <c r="P12" s="42">
        <f t="shared" si="0"/>
        <v>0.27439999999999998</v>
      </c>
      <c r="Q12" s="42">
        <f t="shared" si="1"/>
        <v>2.8702928870292883</v>
      </c>
      <c r="R12" s="41" t="str">
        <f t="shared" si="2"/>
        <v>📈 تحسن</v>
      </c>
    </row>
    <row r="13" spans="1:18" ht="18.5" x14ac:dyDescent="0.45">
      <c r="B13" s="19" t="s">
        <v>25</v>
      </c>
      <c r="C13" s="19">
        <f>COUNTIF('نسبة الاتقان لعام 2025-2026'!B7:B56,B13)</f>
        <v>3</v>
      </c>
      <c r="D13" s="39">
        <f>IFERROR(AVERAGEIF('نسبة الاتقان لعام 2025-2026'!B7:B56,B13,'نسبة الاتقان لعام 2025-2026'!F7:F56),"لا توجد بيانات")</f>
        <v>0.36824905400756797</v>
      </c>
      <c r="F13" s="22" t="s">
        <v>25</v>
      </c>
      <c r="G13" s="23">
        <v>9.5561594202898537</v>
      </c>
      <c r="H13" s="10"/>
      <c r="M13" s="41" t="s">
        <v>16</v>
      </c>
      <c r="N13" s="42">
        <v>0.14019999999999999</v>
      </c>
      <c r="O13" s="42">
        <v>0.3</v>
      </c>
      <c r="P13" s="42">
        <f t="shared" si="0"/>
        <v>0.1598</v>
      </c>
      <c r="Q13" s="42">
        <f t="shared" si="1"/>
        <v>1.1398002853067049</v>
      </c>
      <c r="R13" s="41" t="str">
        <f t="shared" si="2"/>
        <v>📈 تحسن</v>
      </c>
    </row>
    <row r="14" spans="1:18" ht="18.5" x14ac:dyDescent="0.45">
      <c r="B14" s="19" t="s">
        <v>24</v>
      </c>
      <c r="C14" s="19">
        <f>COUNTIF('نسبة الاتقان لعام 2025-2026'!B7:B56,B14)</f>
        <v>3</v>
      </c>
      <c r="D14" s="39">
        <f>IFERROR(AVERAGEIF('نسبة الاتقان لعام 2025-2026'!B7:B56,B14,'نسبة الاتقان لعام 2025-2026'!F7:F56),"لا توجد بيانات")</f>
        <v>0.34967320261437912</v>
      </c>
      <c r="F14" s="22" t="s">
        <v>16</v>
      </c>
      <c r="G14" s="23">
        <v>14.019753428835964</v>
      </c>
      <c r="H14" s="10"/>
      <c r="M14" s="41" t="s">
        <v>18</v>
      </c>
      <c r="N14" s="42">
        <v>0.29099999999999998</v>
      </c>
      <c r="O14" s="42">
        <v>0.3</v>
      </c>
      <c r="P14" s="42">
        <f t="shared" si="0"/>
        <v>9.000000000000008E-3</v>
      </c>
      <c r="Q14" s="42">
        <f t="shared" si="1"/>
        <v>3.0927835051546421E-2</v>
      </c>
      <c r="R14" s="41" t="str">
        <f t="shared" si="2"/>
        <v>📈 تحسن</v>
      </c>
    </row>
    <row r="15" spans="1:18" ht="18.5" x14ac:dyDescent="0.45">
      <c r="F15" s="22" t="s">
        <v>18</v>
      </c>
      <c r="G15" s="23">
        <v>29.100246811650642</v>
      </c>
    </row>
    <row r="16" spans="1:18" ht="18.5" x14ac:dyDescent="0.45">
      <c r="B16" s="11" t="s">
        <v>37</v>
      </c>
      <c r="C16" s="12"/>
      <c r="D16" s="38">
        <f>AVERAGE(D3:D14)</f>
        <v>0.27882892379842034</v>
      </c>
      <c r="F16" s="22"/>
      <c r="G16" s="23"/>
      <c r="M16" s="27" t="s">
        <v>58</v>
      </c>
      <c r="N16" s="28">
        <f>AVERAGE(N3:N14)</f>
        <v>0.20083333333333331</v>
      </c>
      <c r="O16" s="28">
        <f>AVERAGE(O3:O14)</f>
        <v>0.28000000000000003</v>
      </c>
      <c r="P16" s="28">
        <f>AVERAGE(P3:P14)</f>
        <v>7.9166666666666677E-2</v>
      </c>
      <c r="Q16" s="27"/>
      <c r="R16" s="27"/>
    </row>
    <row r="18" spans="13:15" x14ac:dyDescent="0.3">
      <c r="M18" s="25" t="s">
        <v>59</v>
      </c>
    </row>
    <row r="19" spans="13:15" x14ac:dyDescent="0.3">
      <c r="M19" t="s">
        <v>60</v>
      </c>
      <c r="O19">
        <f>COUNTIF(P3:P14,"&gt;0.001")</f>
        <v>9</v>
      </c>
    </row>
    <row r="20" spans="13:15" x14ac:dyDescent="0.3">
      <c r="M20" t="s">
        <v>61</v>
      </c>
      <c r="O20">
        <f>COUNTIF(P3:P14,"&lt;-0.001")</f>
        <v>2</v>
      </c>
    </row>
    <row r="21" spans="13:15" x14ac:dyDescent="0.3">
      <c r="M21" t="s">
        <v>62</v>
      </c>
      <c r="O21" cm="1">
        <f t="array" ref="O21">SUMPRODUCT((ABS(P3:P14)&lt;=0.001)*1)</f>
        <v>1</v>
      </c>
    </row>
    <row r="22" spans="13:15" x14ac:dyDescent="0.3">
      <c r="M22" t="s">
        <v>63</v>
      </c>
      <c r="O22" s="24">
        <f>MAX(P3:P14)</f>
        <v>0.27439999999999998</v>
      </c>
    </row>
    <row r="23" spans="13:15" x14ac:dyDescent="0.3">
      <c r="M23" t="s">
        <v>64</v>
      </c>
      <c r="O23" s="24">
        <f>MIN(P3:P14)</f>
        <v>-6.3099999999999934E-2</v>
      </c>
    </row>
    <row r="24" spans="13:15" x14ac:dyDescent="0.3">
      <c r="M24" t="s">
        <v>65</v>
      </c>
      <c r="O24" t="str">
        <f>INDEX(M3:M14,MATCH(MAX(P3:P14),P3:P14,0))</f>
        <v>الكيمياء</v>
      </c>
    </row>
    <row r="25" spans="13:15" x14ac:dyDescent="0.3">
      <c r="M25" t="s">
        <v>66</v>
      </c>
      <c r="O25" t="str">
        <f>INDEX(M3:M14,MATCH(MIN(P3:P14),P3:P14,0))</f>
        <v>التربية الاسلامية</v>
      </c>
    </row>
  </sheetData>
  <mergeCells count="3">
    <mergeCell ref="M1:R1"/>
    <mergeCell ref="A1:D1"/>
    <mergeCell ref="E1:H1"/>
  </mergeCells>
  <conditionalFormatting sqref="P3:P14">
    <cfRule type="cellIs" dxfId="5" priority="1" operator="greaterThan">
      <formula>0.001</formula>
    </cfRule>
    <cfRule type="cellIs" dxfId="4" priority="2" operator="lessThan">
      <formula>-0.001</formula>
    </cfRule>
  </conditionalFormatting>
  <conditionalFormatting sqref="R3:R14">
    <cfRule type="containsText" dxfId="3" priority="3" operator="containsText" text="تحسن">
      <formula>NOT(ISERROR(SEARCH("تحسن",R3)))</formula>
    </cfRule>
    <cfRule type="containsText" dxfId="2" priority="4" operator="containsText" text="تراجع">
      <formula>NOT(ISERROR(SEARCH("تراجع",R3)))</formula>
    </cfRule>
  </conditionalFormatting>
  <pageMargins left="0.7" right="0.7" top="0.75" bottom="0.75" header="0.3" footer="0.3"/>
  <pageSetup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7D39-C638-47B7-8150-2F6138BDB844}">
  <dimension ref="A1:F26"/>
  <sheetViews>
    <sheetView rightToLeft="1" workbookViewId="0">
      <selection activeCell="A2" sqref="A2"/>
    </sheetView>
  </sheetViews>
  <sheetFormatPr defaultRowHeight="14" x14ac:dyDescent="0.3"/>
  <cols>
    <col min="1" max="1" width="25" customWidth="1"/>
    <col min="2" max="3" width="16.6640625" customWidth="1"/>
    <col min="4" max="4" width="13.33203125" customWidth="1"/>
    <col min="5" max="5" width="16.6640625" customWidth="1"/>
    <col min="6" max="6" width="13.33203125" customWidth="1"/>
  </cols>
  <sheetData>
    <row r="1" spans="1:6" ht="35" customHeight="1" x14ac:dyDescent="0.4">
      <c r="A1" s="57" t="s">
        <v>67</v>
      </c>
      <c r="B1" s="57"/>
      <c r="C1" s="57"/>
      <c r="D1" s="57"/>
      <c r="E1" s="57"/>
      <c r="F1" s="57"/>
    </row>
    <row r="2" spans="1:6" ht="25" customHeight="1" x14ac:dyDescent="0.35">
      <c r="A2" s="29" t="s">
        <v>68</v>
      </c>
    </row>
    <row r="4" spans="1:6" ht="28" customHeight="1" x14ac:dyDescent="0.3">
      <c r="A4" s="43" t="s">
        <v>1</v>
      </c>
      <c r="B4" s="43" t="s">
        <v>53</v>
      </c>
      <c r="C4" s="43" t="s">
        <v>54</v>
      </c>
      <c r="D4" s="43" t="s">
        <v>55</v>
      </c>
      <c r="E4" s="43" t="s">
        <v>56</v>
      </c>
      <c r="F4" s="43" t="s">
        <v>57</v>
      </c>
    </row>
    <row r="5" spans="1:6" ht="22" customHeight="1" x14ac:dyDescent="0.3">
      <c r="A5" s="44" t="s">
        <v>24</v>
      </c>
      <c r="B5" s="45">
        <v>0.17599999999999999</v>
      </c>
      <c r="C5" s="45">
        <v>0.35</v>
      </c>
      <c r="D5" s="45">
        <f t="shared" ref="D5:D17" si="0">C5-B5</f>
        <v>0.17399999999999999</v>
      </c>
      <c r="E5" s="45">
        <f t="shared" ref="E5:E16" si="1">IF(B5=0,IF(C5=0,0,1),(C5-B5)/B5)</f>
        <v>0.98863636363636365</v>
      </c>
      <c r="F5" s="44" t="str">
        <f t="shared" ref="F5:F16" si="2">IF(D5&gt;0.001,"تحسن",IF(D5&lt;-0.001,"تراجع","ثابت"))</f>
        <v>تحسن</v>
      </c>
    </row>
    <row r="6" spans="1:6" ht="22" customHeight="1" x14ac:dyDescent="0.3">
      <c r="A6" s="44" t="s">
        <v>27</v>
      </c>
      <c r="B6" s="45">
        <v>0.60309999999999997</v>
      </c>
      <c r="C6" s="45">
        <v>0.54</v>
      </c>
      <c r="D6" s="45">
        <f t="shared" si="0"/>
        <v>-6.3099999999999934E-2</v>
      </c>
      <c r="E6" s="45">
        <f t="shared" si="1"/>
        <v>-0.10462609849112905</v>
      </c>
      <c r="F6" s="44" t="str">
        <f t="shared" si="2"/>
        <v>تراجع</v>
      </c>
    </row>
    <row r="7" spans="1:6" ht="22" customHeight="1" x14ac:dyDescent="0.3">
      <c r="A7" s="44" t="s">
        <v>22</v>
      </c>
      <c r="B7" s="45">
        <v>0.45069999999999999</v>
      </c>
      <c r="C7" s="45">
        <v>0.43</v>
      </c>
      <c r="D7" s="45">
        <f t="shared" si="0"/>
        <v>-2.0699999999999996E-2</v>
      </c>
      <c r="E7" s="45">
        <f t="shared" si="1"/>
        <v>-4.5928555580208558E-2</v>
      </c>
      <c r="F7" s="44" t="str">
        <f t="shared" si="2"/>
        <v>تراجع</v>
      </c>
    </row>
    <row r="8" spans="1:6" ht="22" customHeight="1" x14ac:dyDescent="0.3">
      <c r="A8" s="44" t="s">
        <v>19</v>
      </c>
      <c r="B8" s="45">
        <v>0.20200000000000001</v>
      </c>
      <c r="C8" s="45">
        <v>0.28999999999999998</v>
      </c>
      <c r="D8" s="45">
        <f t="shared" si="0"/>
        <v>8.7999999999999967E-2</v>
      </c>
      <c r="E8" s="45">
        <f t="shared" si="1"/>
        <v>0.43564356435643548</v>
      </c>
      <c r="F8" s="44" t="str">
        <f t="shared" si="2"/>
        <v>تحسن</v>
      </c>
    </row>
    <row r="9" spans="1:6" ht="22" customHeight="1" x14ac:dyDescent="0.3">
      <c r="A9" s="44" t="s">
        <v>8</v>
      </c>
      <c r="B9" s="45">
        <v>0</v>
      </c>
      <c r="C9" s="45">
        <v>0</v>
      </c>
      <c r="D9" s="45">
        <f t="shared" si="0"/>
        <v>0</v>
      </c>
      <c r="E9" s="45">
        <f t="shared" si="1"/>
        <v>0</v>
      </c>
      <c r="F9" s="44" t="str">
        <f t="shared" si="2"/>
        <v>ثابت</v>
      </c>
    </row>
    <row r="10" spans="1:6" ht="22" customHeight="1" x14ac:dyDescent="0.3">
      <c r="A10" s="44" t="s">
        <v>15</v>
      </c>
      <c r="B10" s="45">
        <v>6.25E-2</v>
      </c>
      <c r="C10" s="45">
        <v>0.11</v>
      </c>
      <c r="D10" s="45">
        <f t="shared" si="0"/>
        <v>4.7500000000000001E-2</v>
      </c>
      <c r="E10" s="45">
        <f t="shared" si="1"/>
        <v>0.76</v>
      </c>
      <c r="F10" s="44" t="str">
        <f t="shared" si="2"/>
        <v>تحسن</v>
      </c>
    </row>
    <row r="11" spans="1:6" ht="22" customHeight="1" x14ac:dyDescent="0.3">
      <c r="A11" s="44" t="s">
        <v>21</v>
      </c>
      <c r="B11" s="45">
        <v>0.30059999999999998</v>
      </c>
      <c r="C11" s="45">
        <v>0.43</v>
      </c>
      <c r="D11" s="45">
        <f t="shared" si="0"/>
        <v>0.12940000000000002</v>
      </c>
      <c r="E11" s="45">
        <f t="shared" si="1"/>
        <v>0.430472388556221</v>
      </c>
      <c r="F11" s="44" t="str">
        <f t="shared" si="2"/>
        <v>تحسن</v>
      </c>
    </row>
    <row r="12" spans="1:6" ht="22" customHeight="1" x14ac:dyDescent="0.3">
      <c r="A12" s="44" t="s">
        <v>11</v>
      </c>
      <c r="B12" s="45">
        <v>0</v>
      </c>
      <c r="C12" s="45">
        <v>0.04</v>
      </c>
      <c r="D12" s="45">
        <f t="shared" si="0"/>
        <v>0.04</v>
      </c>
      <c r="E12" s="45">
        <f t="shared" si="1"/>
        <v>1</v>
      </c>
      <c r="F12" s="44" t="str">
        <f t="shared" si="2"/>
        <v>تحسن</v>
      </c>
    </row>
    <row r="13" spans="1:6" ht="22" customHeight="1" x14ac:dyDescent="0.3">
      <c r="A13" s="44" t="s">
        <v>12</v>
      </c>
      <c r="B13" s="45">
        <v>8.8300000000000003E-2</v>
      </c>
      <c r="C13" s="45">
        <v>0.2</v>
      </c>
      <c r="D13" s="45">
        <f t="shared" si="0"/>
        <v>0.11170000000000001</v>
      </c>
      <c r="E13" s="45">
        <f t="shared" si="1"/>
        <v>1.2650056625141564</v>
      </c>
      <c r="F13" s="44" t="str">
        <f t="shared" si="2"/>
        <v>تحسن</v>
      </c>
    </row>
    <row r="14" spans="1:6" ht="22" customHeight="1" x14ac:dyDescent="0.3">
      <c r="A14" s="44" t="s">
        <v>25</v>
      </c>
      <c r="B14" s="45">
        <v>9.5600000000000004E-2</v>
      </c>
      <c r="C14" s="45">
        <v>0.37</v>
      </c>
      <c r="D14" s="45">
        <f t="shared" si="0"/>
        <v>0.27439999999999998</v>
      </c>
      <c r="E14" s="45">
        <f t="shared" si="1"/>
        <v>2.8702928870292883</v>
      </c>
      <c r="F14" s="44" t="str">
        <f t="shared" si="2"/>
        <v>تحسن</v>
      </c>
    </row>
    <row r="15" spans="1:6" ht="22" customHeight="1" x14ac:dyDescent="0.3">
      <c r="A15" s="44" t="s">
        <v>16</v>
      </c>
      <c r="B15" s="45">
        <v>0.14019999999999999</v>
      </c>
      <c r="C15" s="45">
        <v>0.3</v>
      </c>
      <c r="D15" s="45">
        <f t="shared" si="0"/>
        <v>0.1598</v>
      </c>
      <c r="E15" s="45">
        <f t="shared" si="1"/>
        <v>1.1398002853067049</v>
      </c>
      <c r="F15" s="44" t="str">
        <f t="shared" si="2"/>
        <v>تحسن</v>
      </c>
    </row>
    <row r="16" spans="1:6" ht="22" customHeight="1" x14ac:dyDescent="0.3">
      <c r="A16" s="44" t="s">
        <v>18</v>
      </c>
      <c r="B16" s="45">
        <v>0.29099999999999998</v>
      </c>
      <c r="C16" s="45">
        <v>0.3</v>
      </c>
      <c r="D16" s="45">
        <f t="shared" si="0"/>
        <v>9.000000000000008E-3</v>
      </c>
      <c r="E16" s="45">
        <f t="shared" si="1"/>
        <v>3.0927835051546421E-2</v>
      </c>
      <c r="F16" s="44" t="str">
        <f t="shared" si="2"/>
        <v>تحسن</v>
      </c>
    </row>
    <row r="17" spans="1:6" ht="18.5" x14ac:dyDescent="0.3">
      <c r="A17" s="46" t="s">
        <v>58</v>
      </c>
      <c r="B17" s="47">
        <f>AVERAGE(B5:B16)</f>
        <v>0.20083333333333331</v>
      </c>
      <c r="C17" s="47">
        <f>AVERAGE(C5:C16)</f>
        <v>0.28000000000000003</v>
      </c>
      <c r="D17" s="47">
        <f t="shared" si="0"/>
        <v>7.9166666666666718E-2</v>
      </c>
      <c r="E17" s="47">
        <f>(C17-B17)/B17</f>
        <v>0.39419087136929493</v>
      </c>
      <c r="F17" s="46" t="str">
        <f>IF(D17&gt;0,"تحسن",IF(D17&lt;0,"تراجع","ثابت"))</f>
        <v>تحسن</v>
      </c>
    </row>
    <row r="19" spans="1:6" ht="15.5" x14ac:dyDescent="0.35">
      <c r="A19" s="30" t="s">
        <v>69</v>
      </c>
      <c r="E19" s="33" t="s">
        <v>70</v>
      </c>
    </row>
    <row r="20" spans="1:6" x14ac:dyDescent="0.3">
      <c r="A20" s="9" t="s">
        <v>60</v>
      </c>
      <c r="B20" s="31">
        <f>COUNTIF(D5:D16,"&gt;0")</f>
        <v>9</v>
      </c>
      <c r="E20" s="14" t="s">
        <v>71</v>
      </c>
    </row>
    <row r="21" spans="1:6" x14ac:dyDescent="0.3">
      <c r="A21" s="9" t="s">
        <v>61</v>
      </c>
      <c r="B21" s="31">
        <f>COUNTIF(D5:D16,"&lt;0")</f>
        <v>2</v>
      </c>
      <c r="E21" s="16" t="s">
        <v>72</v>
      </c>
    </row>
    <row r="22" spans="1:6" x14ac:dyDescent="0.3">
      <c r="A22" s="9" t="s">
        <v>62</v>
      </c>
      <c r="B22" s="31">
        <f>COUNTIF(D5:D16,0)</f>
        <v>1</v>
      </c>
      <c r="E22" t="s">
        <v>73</v>
      </c>
    </row>
    <row r="23" spans="1:6" x14ac:dyDescent="0.3">
      <c r="A23" s="9" t="s">
        <v>63</v>
      </c>
      <c r="B23" s="32">
        <f>MAX(D5:D16)</f>
        <v>0.27439999999999998</v>
      </c>
    </row>
    <row r="24" spans="1:6" x14ac:dyDescent="0.3">
      <c r="A24" s="9" t="s">
        <v>64</v>
      </c>
      <c r="B24" s="32">
        <f>MIN(D5:D16)</f>
        <v>-6.3099999999999934E-2</v>
      </c>
    </row>
    <row r="25" spans="1:6" x14ac:dyDescent="0.3">
      <c r="A25" s="9" t="s">
        <v>65</v>
      </c>
      <c r="B25" s="31" t="str">
        <f>INDEX(A5:A16,MATCH(MAX(D5:D16),D5:D16,0))</f>
        <v>الكيمياء</v>
      </c>
    </row>
    <row r="26" spans="1:6" x14ac:dyDescent="0.3">
      <c r="A26" s="9" t="s">
        <v>66</v>
      </c>
      <c r="B26" s="31" t="str">
        <f>INDEX(A5:A16,MATCH(MIN(D5:D16),D5:D16,0))</f>
        <v>التربية الاسلامية</v>
      </c>
    </row>
  </sheetData>
  <mergeCells count="1">
    <mergeCell ref="A1:F1"/>
  </mergeCells>
  <conditionalFormatting sqref="D5:D17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نسبة الاتقان للعام2024-2025</vt:lpstr>
      <vt:lpstr>نسبة الاتقان لعام 2025-2026</vt:lpstr>
      <vt:lpstr>تحليل المواد</vt:lpstr>
      <vt:lpstr>تحليل مقارن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العوائد</dc:creator>
  <cp:lastModifiedBy>ABDALLAH ABDElHALIM ABDALLAH KIRA</cp:lastModifiedBy>
  <cp:lastPrinted>2026-04-17T21:29:04Z</cp:lastPrinted>
  <dcterms:created xsi:type="dcterms:W3CDTF">2026-02-03T18:32:43Z</dcterms:created>
  <dcterms:modified xsi:type="dcterms:W3CDTF">2026-04-18T14:00:25Z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2026-02-03T18:41:34Z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29b4cbd3-5f83-4448-9d54-96585af3e7ee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