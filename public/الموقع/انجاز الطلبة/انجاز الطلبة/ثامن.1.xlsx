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mr\Downloads\المستندات\Desktop\تحليل النتائج\"/>
    </mc:Choice>
  </mc:AlternateContent>
  <bookViews>
    <workbookView xWindow="0" yWindow="0" windowWidth="20490" windowHeight="7545" tabRatio="803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5" i="34"/>
  <c r="C26" i="34" s="1"/>
  <c r="C27" i="34" s="1"/>
  <c r="E25" i="34"/>
  <c r="E26" i="34" s="1"/>
  <c r="E27" i="34" s="1"/>
  <c r="F25" i="34"/>
  <c r="F26" i="34" s="1"/>
  <c r="F27" i="34" s="1"/>
  <c r="G25" i="34"/>
  <c r="G26" i="34" s="1"/>
  <c r="G27" i="34" s="1"/>
  <c r="H25" i="34"/>
  <c r="H26" i="34" s="1"/>
  <c r="H27" i="34" s="1"/>
  <c r="I25" i="34"/>
  <c r="I26" i="34" s="1"/>
  <c r="I27" i="34" s="1"/>
  <c r="J25" i="34"/>
  <c r="J26" i="34" s="1"/>
  <c r="J27" i="34" s="1"/>
  <c r="K25" i="34"/>
  <c r="K26" i="34" s="1"/>
  <c r="K27" i="34" s="1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G26" i="34" s="1"/>
  <c r="AG27" i="34" s="1"/>
  <c r="AH25" i="34"/>
  <c r="AH26" i="34" s="1"/>
  <c r="AH27" i="34" s="1"/>
  <c r="AI25" i="34"/>
  <c r="AI26" i="34" s="1"/>
  <c r="AI27" i="34" s="1"/>
  <c r="AJ25" i="34"/>
  <c r="AJ26" i="34" s="1"/>
  <c r="AJ27" i="34" s="1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I26" i="38"/>
  <c r="I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B58" i="33" a="1"/>
  <c r="B58" i="33" s="1"/>
  <c r="AI25" i="33"/>
  <c r="AI26" i="33" s="1"/>
  <c r="AI27" i="33" s="1"/>
  <c r="AH25" i="33"/>
  <c r="AH26" i="33" s="1"/>
  <c r="AH27" i="33" s="1"/>
  <c r="AG25" i="33"/>
  <c r="AG26" i="33" s="1"/>
  <c r="AG27" i="33" s="1"/>
  <c r="AF25" i="33"/>
  <c r="AF26" i="33" s="1"/>
  <c r="AF27" i="33" s="1"/>
  <c r="AE25" i="33"/>
  <c r="AE26" i="33" s="1"/>
  <c r="AE27" i="33" s="1"/>
  <c r="AD25" i="33"/>
  <c r="AD26" i="33" s="1"/>
  <c r="AD27" i="33" s="1"/>
  <c r="AC25" i="33"/>
  <c r="AC26" i="33" s="1"/>
  <c r="AC27" i="33" s="1"/>
  <c r="AB25" i="33"/>
  <c r="AB26" i="33" s="1"/>
  <c r="AB27" i="33" s="1"/>
  <c r="AA25" i="33"/>
  <c r="AA26" i="33" s="1"/>
  <c r="AA27" i="33" s="1"/>
  <c r="Z25" i="33"/>
  <c r="Z26" i="33" s="1"/>
  <c r="Z27" i="33" s="1"/>
  <c r="Y25" i="33"/>
  <c r="Y26" i="33" s="1"/>
  <c r="Y27" i="33" s="1"/>
  <c r="X25" i="33"/>
  <c r="X26" i="33" s="1"/>
  <c r="X27" i="33" s="1"/>
  <c r="W25" i="33"/>
  <c r="W26" i="33" s="1"/>
  <c r="W27" i="33" s="1"/>
  <c r="V25" i="33"/>
  <c r="V26" i="33" s="1"/>
  <c r="V27" i="33" s="1"/>
  <c r="U25" i="33"/>
  <c r="U26" i="33" s="1"/>
  <c r="U27" i="33" s="1"/>
  <c r="T25" i="33"/>
  <c r="T26" i="33" s="1"/>
  <c r="T27" i="33" s="1"/>
  <c r="S25" i="33"/>
  <c r="S26" i="33" s="1"/>
  <c r="S27" i="33" s="1"/>
  <c r="R25" i="33"/>
  <c r="R26" i="33" s="1"/>
  <c r="R27" i="33" s="1"/>
  <c r="Q25" i="33"/>
  <c r="Q26" i="33" s="1"/>
  <c r="Q27" i="33" s="1"/>
  <c r="P25" i="33"/>
  <c r="P26" i="33" s="1"/>
  <c r="P27" i="33" s="1"/>
  <c r="O25" i="33"/>
  <c r="O26" i="33" s="1"/>
  <c r="O27" i="33" s="1"/>
  <c r="N25" i="33"/>
  <c r="N26" i="33" s="1"/>
  <c r="N27" i="33" s="1"/>
  <c r="M25" i="33"/>
  <c r="M26" i="33" s="1"/>
  <c r="M27" i="33" s="1"/>
  <c r="L25" i="33"/>
  <c r="L26" i="33" s="1"/>
  <c r="L27" i="33" s="1"/>
  <c r="K25" i="33"/>
  <c r="K26" i="33" s="1"/>
  <c r="K27" i="33" s="1"/>
  <c r="J25" i="33"/>
  <c r="J26" i="33" s="1"/>
  <c r="J27" i="33" s="1"/>
  <c r="I25" i="33"/>
  <c r="I26" i="33" s="1"/>
  <c r="I27" i="33" s="1"/>
  <c r="H25" i="33"/>
  <c r="H26" i="33" s="1"/>
  <c r="H27" i="33" s="1"/>
  <c r="G25" i="33"/>
  <c r="G26" i="33" s="1"/>
  <c r="G27" i="33" s="1"/>
  <c r="F25" i="33"/>
  <c r="F26" i="33" s="1"/>
  <c r="F27" i="33" s="1"/>
  <c r="E25" i="33"/>
  <c r="E26" i="33" s="1"/>
  <c r="E27" i="33" s="1"/>
  <c r="D25" i="33"/>
  <c r="D26" i="33" s="1"/>
  <c r="D27" i="33" s="1"/>
  <c r="C25" i="33"/>
  <c r="C26" i="33" s="1"/>
  <c r="C27" i="33" s="1"/>
  <c r="AM24" i="33"/>
  <c r="AL24" i="33"/>
  <c r="AK24" i="33"/>
  <c r="AJ24" i="33"/>
  <c r="AM23" i="33"/>
  <c r="AL23" i="33"/>
  <c r="AK23" i="33"/>
  <c r="AJ23" i="33"/>
  <c r="AM22" i="33"/>
  <c r="AL22" i="33"/>
  <c r="AK22" i="33"/>
  <c r="AJ22" i="33"/>
  <c r="AM21" i="33"/>
  <c r="AL21" i="33"/>
  <c r="AK21" i="33"/>
  <c r="AJ21" i="33"/>
  <c r="AM20" i="33"/>
  <c r="AL20" i="33"/>
  <c r="AK20" i="33"/>
  <c r="AJ20" i="33"/>
  <c r="AM19" i="33"/>
  <c r="AL19" i="33"/>
  <c r="AK19" i="33"/>
  <c r="AJ19" i="33"/>
  <c r="AM18" i="33"/>
  <c r="AL18" i="33"/>
  <c r="AK18" i="33"/>
  <c r="AJ18" i="33"/>
  <c r="AM17" i="33"/>
  <c r="AL17" i="33"/>
  <c r="AK17" i="33"/>
  <c r="AJ17" i="33"/>
  <c r="AM16" i="33"/>
  <c r="AL16" i="33"/>
  <c r="AK16" i="33"/>
  <c r="AJ16" i="33"/>
  <c r="AM15" i="33"/>
  <c r="AL15" i="33"/>
  <c r="AK15" i="33"/>
  <c r="AJ15" i="33"/>
  <c r="AM14" i="33"/>
  <c r="AL14" i="33"/>
  <c r="AK14" i="33"/>
  <c r="AJ14" i="33"/>
  <c r="AM13" i="33"/>
  <c r="AL13" i="33"/>
  <c r="AK13" i="33"/>
  <c r="AJ13" i="33"/>
  <c r="AM12" i="33"/>
  <c r="AL12" i="33"/>
  <c r="AK12" i="33"/>
  <c r="AJ12" i="33"/>
  <c r="AM11" i="33"/>
  <c r="AL11" i="33"/>
  <c r="AK11" i="33"/>
  <c r="AJ11" i="33"/>
  <c r="AM10" i="33"/>
  <c r="AL10" i="33"/>
  <c r="AK10" i="33"/>
  <c r="AJ10" i="33"/>
  <c r="AM9" i="33"/>
  <c r="AL9" i="33"/>
  <c r="AK9" i="33"/>
  <c r="AJ9" i="33"/>
  <c r="AM8" i="33"/>
  <c r="AL8" i="33"/>
  <c r="AK8" i="33"/>
  <c r="AJ8" i="33"/>
  <c r="AM7" i="33"/>
  <c r="AL7" i="33"/>
  <c r="AK7" i="33"/>
  <c r="AJ7" i="33"/>
  <c r="AM6" i="33"/>
  <c r="AL6" i="33"/>
  <c r="AK6" i="33"/>
  <c r="AJ6" i="33"/>
  <c r="AM5" i="33"/>
  <c r="AM25" i="33" s="1"/>
  <c r="AL5" i="33"/>
  <c r="AK5" i="33"/>
  <c r="AK25" i="33" s="1"/>
  <c r="AJ5" i="33"/>
  <c r="AM4" i="33"/>
  <c r="AL4" i="33"/>
  <c r="AK4" i="33"/>
  <c r="AJ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M25" i="34" l="1"/>
  <c r="AM26" i="34" s="1"/>
  <c r="AM27" i="34" s="1"/>
  <c r="AN25" i="34"/>
  <c r="AM25" i="21"/>
  <c r="AL25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J25" i="33"/>
  <c r="AJ26" i="33" s="1"/>
  <c r="AJ27" i="33" s="1"/>
  <c r="AJ25" i="36"/>
  <c r="AJ26" i="36" s="1"/>
  <c r="AJ27" i="36" s="1"/>
  <c r="AI25" i="22"/>
  <c r="AG26" i="38"/>
  <c r="AT25" i="38"/>
  <c r="AL25" i="37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<sst xmlns="http://schemas.openxmlformats.org/spreadsheetml/2006/main" count="438" uniqueCount="127">
  <si>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</si>
  <si>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</si>
  <si>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</si>
  <si>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</si>
  <si>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</si>
  <si>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</si>
  <si>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</si>
  <si>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</si>
  <si>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</si>
  <si>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</si>
  <si>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</si>
  <si>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</si>
  <si>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</si>
  <si>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</si>
  <si>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</si>
  <si>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</si>
  <si>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</si>
  <si>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</si>
  <si>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</si>
  <si>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</si>
  <si>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</si>
  <si>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</si>
  <si>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</si>
  <si>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</si>
  <si>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</si>
  <si>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</si>
  <si>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</si>
  <si>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</si>
  <si>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</si>
  <si>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</si>
  <si>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</si>
  <si>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</si>
  <si>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</si>
  <si>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</si>
  <si>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</si>
  <si>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</si>
  <si>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</si>
  <si>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</si>
  <si>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</si>
  <si>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</si>
  <si>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</si>
  <si>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</si>
  <si>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</si>
  <si>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</si>
  <si>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</si>
  <si>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</si>
  <si>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</si>
  <si>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</si>
  <si>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</si>
  <si>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</si>
  <si>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</si>
  <si>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</si>
  <si>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</si>
  <si>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</si>
  <si>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</si>
  <si>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</si>
  <si>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</si>
  <si>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</si>
  <si>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</si>
  <si>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</si>
  <si>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</si>
  <si>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</si>
  <si>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</si>
  <si>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</si>
  <si>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</si>
  <si>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</si>
  <si>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</si>
  <si>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</si>
  <si>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</si>
  <si>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</si>
  <si>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</si>
  <si>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</si>
  <si>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</si>
  <si>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</si>
  <si>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</si>
  <si>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</si>
  <si>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</si>
  <si>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</si>
  <si>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</si>
  <si>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</si>
  <si>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</si>
  <si>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</si>
  <si>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</si>
  <si>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</si>
  <si>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</si>
  <si>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</si>
  <si>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</si>
  <si>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</si>
  <si>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</si>
  <si>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</si>
  <si>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</si>
  <si>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</si>
  <si>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</si>
  <si>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</si>
  <si>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</si>
  <si>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</si>
  <si>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</si>
  <si>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</si>
  <si>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</si>
  <si>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</si>
  <si>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</si>
  <si>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</si>
  <si>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</si>
  <si>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</si>
  <si>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</si>
  <si>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</si>
  <si>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</si>
  <si>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</si>
  <si>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</si>
  <si>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</si>
  <si>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</si>
  <si>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</si>
  <si>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</si>
  <si>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سالم علي عامر زيدي العمري</t>
  </si>
  <si>
    <t>علي عامر سعيد العمري</t>
  </si>
  <si>
    <t>عبدالعزيز بخيت محمد قيطون</t>
  </si>
  <si>
    <t>عبدالرحمن محمد سعيد الشحري</t>
  </si>
  <si>
    <t>عبدالخالق مسلم مبارك المشيخي</t>
  </si>
  <si>
    <t>سهيل صدام سهيل العمري</t>
  </si>
  <si>
    <t>عامر راجح مسلم العمري</t>
  </si>
  <si>
    <t>سعيد علي محاد العمري</t>
  </si>
  <si>
    <t>سعيد بخيت سعيد الشحري</t>
  </si>
  <si>
    <t>محاد حفيظ محاد العمري</t>
  </si>
  <si>
    <t>طوي اعتير للتعليم الأساسي بنين(5-12)</t>
  </si>
  <si>
    <t>ثامن/1</t>
  </si>
  <si>
    <t>عامرعلي عامر العمري</t>
  </si>
  <si>
    <t>كيمياء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</si>
</sst>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  <font>
      <b/>
      <sz val="20"/>
      <color theme="1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12" fillId="0" borderId="1" xfId="0" applyFont="1" applyBorder="1"/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145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46</c:v>
                </c:pt>
                <c:pt idx="1">
                  <c:v>81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2:D5" totalsRowShown="0" dataDxfId="1">
  <autoFilter ref="D2:D5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21"/>
  <sheetViews>
    <sheetView rightToLeft="1" tabSelected="1" zoomScaleNormal="100" workbookViewId="0">
      <selection activeCell="F15" sqref="F15:M15"/>
    </sheetView>
  </sheetViews>
  <sheetFormatPr defaultRowHeight="14.25"/>
  <cols>
    <col min="14" max="14" width="40.875" customWidth="1"/>
    <col min="15" max="15" width="18.875" customWidth="1"/>
  </cols>
  <sheetData>
    <row r="1" spans="3:14" ht="23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3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3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ht="1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>
      <c r="C8" s="56" t="s">
        <v>112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8"/>
    </row>
    <row r="9" spans="3:14" ht="15" customHeight="1"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</row>
    <row r="10" spans="3:14" ht="15" thickBot="1"/>
    <row r="11" spans="3:14" ht="28.5" thickBot="1">
      <c r="C11" s="62" t="s">
        <v>0</v>
      </c>
      <c r="D11" s="63"/>
      <c r="E11" s="63"/>
      <c r="F11" s="64" t="s">
        <v>123</v>
      </c>
      <c r="G11" s="64"/>
      <c r="H11" s="64"/>
      <c r="I11" s="64"/>
      <c r="J11" s="64"/>
      <c r="K11" s="64"/>
      <c r="L11" s="64"/>
      <c r="M11" s="64"/>
    </row>
    <row r="12" spans="3:14" ht="28.5" thickBot="1">
      <c r="C12" s="62" t="s">
        <v>12</v>
      </c>
      <c r="D12" s="63"/>
      <c r="E12" s="63"/>
      <c r="F12" s="64" t="s">
        <v>124</v>
      </c>
      <c r="G12" s="64"/>
      <c r="H12" s="64"/>
      <c r="I12" s="64"/>
      <c r="J12" s="64"/>
      <c r="K12" s="64"/>
      <c r="L12" s="64"/>
      <c r="M12" s="64"/>
    </row>
    <row r="13" spans="3:14" ht="28.5" thickBot="1">
      <c r="C13" s="62" t="s">
        <v>1</v>
      </c>
      <c r="D13" s="63"/>
      <c r="E13" s="63"/>
      <c r="F13" s="64" t="s">
        <v>125</v>
      </c>
      <c r="G13" s="64"/>
      <c r="H13" s="64"/>
      <c r="I13" s="64"/>
      <c r="J13" s="64"/>
      <c r="K13" s="64"/>
      <c r="L13" s="64"/>
      <c r="M13" s="64"/>
    </row>
    <row r="14" spans="3:14" ht="28.5" thickBot="1">
      <c r="C14" s="62" t="s">
        <v>5</v>
      </c>
      <c r="D14" s="63"/>
      <c r="E14" s="63"/>
      <c r="F14" s="64">
        <v>16207230</v>
      </c>
      <c r="G14" s="64"/>
      <c r="H14" s="64"/>
      <c r="I14" s="64"/>
      <c r="J14" s="64"/>
      <c r="K14" s="64"/>
      <c r="L14" s="64"/>
      <c r="M14" s="64"/>
    </row>
    <row r="15" spans="3:14" ht="28.5" thickBot="1">
      <c r="C15" s="62" t="s">
        <v>6</v>
      </c>
      <c r="D15" s="63"/>
      <c r="E15" s="63"/>
      <c r="F15" s="64" t="s">
        <v>126</v>
      </c>
      <c r="G15" s="64"/>
      <c r="H15" s="64"/>
      <c r="I15" s="64"/>
      <c r="J15" s="64"/>
      <c r="K15" s="64"/>
      <c r="L15" s="64"/>
      <c r="M15" s="64"/>
    </row>
    <row r="16" spans="3:14" ht="15" thickBot="1"/>
    <row r="17" spans="1:15" ht="23.25">
      <c r="B17" s="67" t="s">
        <v>11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9"/>
    </row>
    <row r="18" spans="1:15" ht="23.25">
      <c r="B18" s="70" t="s">
        <v>107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1:15" ht="23.25">
      <c r="B19" s="73" t="s">
        <v>111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1:15" ht="23.25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3.25">
      <c r="A21" s="54"/>
      <c r="B21" s="65" t="s">
        <v>109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</row>
  </sheetData>
  <mergeCells count="15">
    <mergeCell ref="B21:N21"/>
    <mergeCell ref="B17:N17"/>
    <mergeCell ref="B18:N18"/>
    <mergeCell ref="B19:N19"/>
    <mergeCell ref="C11:E11"/>
    <mergeCell ref="F11:M11"/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4.25"/>
  <cols>
    <col min="1" max="1" width="4" style="2" customWidth="1"/>
    <col min="2" max="2" width="37.125" style="2" customWidth="1"/>
    <col min="3" max="32" width="11.875" bestFit="1" customWidth="1"/>
    <col min="33" max="33" width="11.25" bestFit="1" customWidth="1"/>
    <col min="34" max="34" width="14.625" customWidth="1"/>
    <col min="35" max="35" width="20.125" customWidth="1"/>
    <col min="36" max="36" width="16.25" customWidth="1"/>
    <col min="37" max="37" width="9.125" customWidth="1"/>
    <col min="38" max="38" width="0.25" customWidth="1"/>
    <col min="39" max="39" width="16.75" customWidth="1"/>
    <col min="40" max="40" width="16" customWidth="1"/>
    <col min="41" max="41" width="15.25" customWidth="1"/>
    <col min="42" max="42" width="15.625" customWidth="1"/>
    <col min="43" max="43" width="16" customWidth="1"/>
  </cols>
  <sheetData>
    <row r="3" spans="1:43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>
      <c r="A4" s="77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8.5" thickBot="1">
      <c r="A25" s="78" t="s">
        <v>19</v>
      </c>
      <c r="B25" s="79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4" priority="209" operator="between">
      <formula>1</formula>
      <formula>5</formula>
    </cfRule>
    <cfRule type="cellIs" dxfId="143" priority="210" operator="lessThan">
      <formula>1</formula>
    </cfRule>
    <cfRule type="containsText" dxfId="142" priority="211" operator="containsText" text="0">
      <formula>NOT(ISERROR(SEARCH("0",C5)))</formula>
    </cfRule>
    <cfRule type="containsText" dxfId="141" priority="212" operator="containsText" text="0">
      <formula>NOT(ISERROR(SEARCH("0",C5)))</formula>
    </cfRule>
    <cfRule type="containsText" dxfId="140" priority="215" operator="containsText" text="1">
      <formula>NOT(ISERROR(SEARCH("1",C5)))</formula>
    </cfRule>
    <cfRule type="containsText" dxfId="139" priority="216" operator="containsText" text="0">
      <formula>NOT(ISERROR(SEARCH("0",C5)))</formula>
    </cfRule>
  </conditionalFormatting>
  <conditionalFormatting sqref="C26:AJ26">
    <cfRule type="cellIs" dxfId="138" priority="1" operator="between">
      <formula>40</formula>
      <formula>50</formula>
    </cfRule>
    <cfRule type="cellIs" dxfId="137" priority="65" operator="greaterThan">
      <formula>70</formula>
    </cfRule>
    <cfRule type="cellIs" dxfId="136" priority="68" operator="between">
      <formula>60</formula>
      <formula>70</formula>
    </cfRule>
    <cfRule type="cellIs" dxfId="135" priority="70" operator="lessThan">
      <formula>40</formula>
    </cfRule>
    <cfRule type="cellIs" dxfId="134" priority="72" operator="between">
      <formula>50</formula>
      <formula>60</formula>
    </cfRule>
  </conditionalFormatting>
  <conditionalFormatting sqref="C27:AJ27">
    <cfRule type="cellIs" dxfId="133" priority="93" operator="between">
      <formula>70</formula>
      <formula>100</formula>
    </cfRule>
  </conditionalFormatting>
  <conditionalFormatting sqref="AN6:AQ6">
    <cfRule type="expression" dxfId="13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24" width="10.25" bestFit="1" customWidth="1"/>
    <col min="25" max="25" width="10.25" customWidth="1"/>
    <col min="26" max="31" width="10.25" bestFit="1" customWidth="1"/>
    <col min="32" max="32" width="13" customWidth="1"/>
    <col min="33" max="33" width="14.625" customWidth="1"/>
    <col min="34" max="34" width="20.125" customWidth="1"/>
    <col min="35" max="35" width="16.25" customWidth="1"/>
    <col min="36" max="36" width="9.125" customWidth="1"/>
    <col min="37" max="37" width="0.25" customWidth="1"/>
    <col min="38" max="38" width="16.75" customWidth="1"/>
    <col min="39" max="39" width="16" customWidth="1"/>
    <col min="40" max="40" width="15.25" customWidth="1"/>
    <col min="41" max="41" width="15.625" customWidth="1"/>
    <col min="42" max="42" width="16" customWidth="1"/>
  </cols>
  <sheetData>
    <row r="3" spans="1:42" ht="50.25" customHeight="1">
      <c r="A3" s="76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>
      <c r="A4" s="77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8.5" thickBot="1">
      <c r="A25" s="78" t="s">
        <v>19</v>
      </c>
      <c r="B25" s="79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31" priority="8" operator="between">
      <formula>1</formula>
      <formula>5</formula>
    </cfRule>
    <cfRule type="cellIs" dxfId="130" priority="9" operator="lessThan">
      <formula>1</formula>
    </cfRule>
    <cfRule type="containsText" dxfId="129" priority="10" operator="containsText" text="0">
      <formula>NOT(ISERROR(SEARCH("0",C5)))</formula>
    </cfRule>
    <cfRule type="containsText" dxfId="128" priority="11" operator="containsText" text="0">
      <formula>NOT(ISERROR(SEARCH("0",C5)))</formula>
    </cfRule>
    <cfRule type="containsText" dxfId="127" priority="12" operator="containsText" text="1">
      <formula>NOT(ISERROR(SEARCH("1",C5)))</formula>
    </cfRule>
    <cfRule type="containsText" dxfId="126" priority="13" operator="containsText" text="0">
      <formula>NOT(ISERROR(SEARCH("0",C5)))</formula>
    </cfRule>
  </conditionalFormatting>
  <conditionalFormatting sqref="C26:AE26">
    <cfRule type="cellIs" dxfId="125" priority="1" operator="between">
      <formula>40</formula>
      <formula>50</formula>
    </cfRule>
    <cfRule type="cellIs" dxfId="124" priority="3" operator="greaterThan">
      <formula>70</formula>
    </cfRule>
    <cfRule type="cellIs" dxfId="123" priority="4" operator="between">
      <formula>60</formula>
      <formula>70</formula>
    </cfRule>
    <cfRule type="cellIs" dxfId="122" priority="5" operator="lessThan">
      <formula>40</formula>
    </cfRule>
    <cfRule type="cellIs" dxfId="121" priority="6" operator="between">
      <formula>50</formula>
      <formula>60</formula>
    </cfRule>
  </conditionalFormatting>
  <conditionalFormatting sqref="C27:AE27">
    <cfRule type="cellIs" dxfId="120" priority="7" operator="between">
      <formula>70</formula>
      <formula>100</formula>
    </cfRule>
  </conditionalFormatting>
  <conditionalFormatting sqref="AM6:AP6">
    <cfRule type="expression" dxfId="11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8" priority="8" operator="between">
      <formula>1</formula>
      <formula>5</formula>
    </cfRule>
    <cfRule type="cellIs" dxfId="117" priority="9" operator="lessThan">
      <formula>1</formula>
    </cfRule>
    <cfRule type="containsText" dxfId="116" priority="10" operator="containsText" text="0">
      <formula>NOT(ISERROR(SEARCH("0",C5)))</formula>
    </cfRule>
    <cfRule type="containsText" dxfId="115" priority="11" operator="containsText" text="0">
      <formula>NOT(ISERROR(SEARCH("0",C5)))</formula>
    </cfRule>
    <cfRule type="containsText" dxfId="114" priority="12" operator="containsText" text="1">
      <formula>NOT(ISERROR(SEARCH("1",C5)))</formula>
    </cfRule>
    <cfRule type="containsText" dxfId="113" priority="13" operator="containsText" text="0">
      <formula>NOT(ISERROR(SEARCH("0",C5)))</formula>
    </cfRule>
  </conditionalFormatting>
  <conditionalFormatting sqref="C27:AI27">
    <cfRule type="cellIs" dxfId="112" priority="7" operator="between">
      <formula>70</formula>
      <formula>100</formula>
    </cfRule>
  </conditionalFormatting>
  <conditionalFormatting sqref="C26:AJ26">
    <cfRule type="cellIs" dxfId="111" priority="1" operator="between">
      <formula>40</formula>
      <formula>50</formula>
    </cfRule>
    <cfRule type="cellIs" dxfId="110" priority="3" operator="greaterThan">
      <formula>70</formula>
    </cfRule>
    <cfRule type="cellIs" dxfId="109" priority="4" operator="between">
      <formula>60</formula>
      <formula>70</formula>
    </cfRule>
    <cfRule type="cellIs" dxfId="108" priority="5" operator="lessThan">
      <formula>40</formula>
    </cfRule>
    <cfRule type="cellIs" dxfId="107" priority="6" operator="between">
      <formula>50</formula>
      <formula>60</formula>
    </cfRule>
  </conditionalFormatting>
  <conditionalFormatting sqref="AQ6:AT6">
    <cfRule type="expression" dxfId="10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I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str">
        <f t="shared" si="6"/>
        <v xml:space="preserve"> يحتاج الى تدخل سريع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05" priority="8" operator="between">
      <formula>1</formula>
      <formula>5</formula>
    </cfRule>
    <cfRule type="cellIs" dxfId="104" priority="9" operator="lessThan">
      <formula>1</formula>
    </cfRule>
    <cfRule type="containsText" dxfId="103" priority="10" operator="containsText" text="0">
      <formula>NOT(ISERROR(SEARCH("0",C5)))</formula>
    </cfRule>
    <cfRule type="containsText" dxfId="102" priority="11" operator="containsText" text="0">
      <formula>NOT(ISERROR(SEARCH("0",C5)))</formula>
    </cfRule>
    <cfRule type="containsText" dxfId="101" priority="12" operator="containsText" text="1">
      <formula>NOT(ISERROR(SEARCH("1",C5)))</formula>
    </cfRule>
    <cfRule type="containsText" dxfId="100" priority="13" operator="containsText" text="0">
      <formula>NOT(ISERROR(SEARCH("0",C5)))</formula>
    </cfRule>
  </conditionalFormatting>
  <conditionalFormatting sqref="C26:AJ26">
    <cfRule type="cellIs" dxfId="99" priority="1" operator="between">
      <formula>40</formula>
      <formula>50</formula>
    </cfRule>
    <cfRule type="cellIs" dxfId="98" priority="3" operator="greaterThan">
      <formula>70</formula>
    </cfRule>
    <cfRule type="cellIs" dxfId="97" priority="4" operator="between">
      <formula>60</formula>
      <formula>70</formula>
    </cfRule>
    <cfRule type="cellIs" dxfId="96" priority="5" operator="lessThan">
      <formula>40</formula>
    </cfRule>
    <cfRule type="cellIs" dxfId="95" priority="6" operator="between">
      <formula>50</formula>
      <formula>60</formula>
    </cfRule>
  </conditionalFormatting>
  <conditionalFormatting sqref="C27:AJ27">
    <cfRule type="cellIs" dxfId="94" priority="7" operator="between">
      <formula>70</formula>
      <formula>100</formula>
    </cfRule>
  </conditionalFormatting>
  <conditionalFormatting sqref="AQ6:AT6">
    <cfRule type="expression" dxfId="9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4.25"/>
  <cols>
    <col min="1" max="1" width="4" style="2" customWidth="1"/>
    <col min="2" max="2" width="37.125" style="2" customWidth="1"/>
    <col min="3" max="3" width="11.125" bestFit="1" customWidth="1"/>
    <col min="4" max="4" width="14.625" customWidth="1"/>
    <col min="5" max="9" width="10.25" bestFit="1" customWidth="1"/>
    <col min="10" max="10" width="10.25" customWidth="1"/>
    <col min="11" max="14" width="10.25" bestFit="1" customWidth="1"/>
    <col min="15" max="15" width="10.25" customWidth="1"/>
    <col min="16" max="29" width="10.25" bestFit="1" customWidth="1"/>
    <col min="30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6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7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8" t="s">
        <v>19</v>
      </c>
      <c r="B25" s="79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80" t="s">
        <v>110</v>
      </c>
      <c r="B27" s="81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2" priority="8" operator="between">
      <formula>1</formula>
      <formula>5</formula>
    </cfRule>
    <cfRule type="cellIs" dxfId="91" priority="9" operator="lessThan">
      <formula>1</formula>
    </cfRule>
    <cfRule type="containsText" dxfId="90" priority="10" operator="containsText" text="0">
      <formula>NOT(ISERROR(SEARCH("0",C5)))</formula>
    </cfRule>
    <cfRule type="containsText" dxfId="89" priority="11" operator="containsText" text="0">
      <formula>NOT(ISERROR(SEARCH("0",C5)))</formula>
    </cfRule>
    <cfRule type="containsText" dxfId="88" priority="12" operator="containsText" text="1">
      <formula>NOT(ISERROR(SEARCH("1",C5)))</formula>
    </cfRule>
    <cfRule type="containsText" dxfId="87" priority="13" operator="containsText" text="0">
      <formula>NOT(ISERROR(SEARCH("0",C5)))</formula>
    </cfRule>
  </conditionalFormatting>
  <conditionalFormatting sqref="C27:AG27">
    <cfRule type="cellIs" dxfId="86" priority="7" operator="between">
      <formula>70</formula>
      <formula>100</formula>
    </cfRule>
  </conditionalFormatting>
  <conditionalFormatting sqref="C26:AH26">
    <cfRule type="cellIs" dxfId="85" priority="1" operator="between">
      <formula>40</formula>
      <formula>50</formula>
    </cfRule>
    <cfRule type="cellIs" dxfId="84" priority="3" operator="greaterThan">
      <formula>70</formula>
    </cfRule>
    <cfRule type="cellIs" dxfId="83" priority="4" operator="between">
      <formula>60</formula>
      <formula>70</formula>
    </cfRule>
    <cfRule type="cellIs" dxfId="82" priority="5" operator="lessThan">
      <formula>40</formula>
    </cfRule>
    <cfRule type="cellIs" dxfId="81" priority="6" operator="between">
      <formula>50</formula>
      <formula>60</formula>
    </cfRule>
  </conditionalFormatting>
  <conditionalFormatting sqref="AO6:AR6">
    <cfRule type="expression" dxfId="8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D5" sqref="D5:AG22"/>
    </sheetView>
  </sheetViews>
  <sheetFormatPr defaultRowHeight="14.25"/>
  <cols>
    <col min="1" max="1" width="4" style="2" customWidth="1"/>
    <col min="2" max="2" width="37.125" style="2" customWidth="1"/>
    <col min="3" max="3" width="13.625" style="2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15" width="10.25" bestFit="1" customWidth="1"/>
    <col min="16" max="16" width="10.25" customWidth="1"/>
    <col min="17" max="30" width="10.25" bestFit="1" customWidth="1"/>
    <col min="31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6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7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8" t="s">
        <v>19</v>
      </c>
      <c r="B25" s="79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80" t="s">
        <v>4</v>
      </c>
      <c r="B27" s="81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9" priority="8" operator="between">
      <formula>1</formula>
      <formula>5</formula>
    </cfRule>
    <cfRule type="cellIs" dxfId="78" priority="9" operator="lessThan">
      <formula>1</formula>
    </cfRule>
    <cfRule type="containsText" dxfId="77" priority="10" operator="containsText" text="0">
      <formula>NOT(ISERROR(SEARCH("0",D5)))</formula>
    </cfRule>
    <cfRule type="containsText" dxfId="76" priority="11" operator="containsText" text="0">
      <formula>NOT(ISERROR(SEARCH("0",D5)))</formula>
    </cfRule>
    <cfRule type="containsText" dxfId="75" priority="12" operator="containsText" text="1">
      <formula>NOT(ISERROR(SEARCH("1",D5)))</formula>
    </cfRule>
    <cfRule type="containsText" dxfId="74" priority="13" operator="containsText" text="0">
      <formula>NOT(ISERROR(SEARCH("0",D5)))</formula>
    </cfRule>
  </conditionalFormatting>
  <conditionalFormatting sqref="D27:AG27">
    <cfRule type="cellIs" dxfId="73" priority="7" operator="between">
      <formula>70</formula>
      <formula>100</formula>
    </cfRule>
  </conditionalFormatting>
  <conditionalFormatting sqref="D26:AH26">
    <cfRule type="cellIs" dxfId="72" priority="1" operator="between">
      <formula>40</formula>
      <formula>50</formula>
    </cfRule>
    <cfRule type="cellIs" dxfId="71" priority="3" operator="greaterThan">
      <formula>70</formula>
    </cfRule>
    <cfRule type="cellIs" dxfId="70" priority="4" operator="between">
      <formula>60</formula>
      <formula>70</formula>
    </cfRule>
    <cfRule type="cellIs" dxfId="69" priority="5" operator="lessThan">
      <formula>40</formula>
    </cfRule>
    <cfRule type="cellIs" dxfId="68" priority="6" operator="between">
      <formula>50</formula>
      <formula>60</formula>
    </cfRule>
  </conditionalFormatting>
  <conditionalFormatting sqref="AO6:AR6">
    <cfRule type="expression" dxfId="6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2" width="10.25" customWidth="1"/>
    <col min="13" max="33" width="10.25" bestFit="1" customWidth="1"/>
    <col min="34" max="36" width="10.25" customWidth="1"/>
    <col min="37" max="37" width="13" customWidth="1"/>
    <col min="38" max="38" width="14.625" customWidth="1"/>
    <col min="39" max="39" width="20.125" customWidth="1"/>
    <col min="40" max="40" width="16.25" customWidth="1"/>
    <col min="41" max="41" width="9.125" customWidth="1"/>
    <col min="42" max="42" width="0.25" customWidth="1"/>
    <col min="43" max="43" width="16.75" customWidth="1"/>
    <col min="44" max="44" width="16" customWidth="1"/>
    <col min="45" max="45" width="15.25" customWidth="1"/>
    <col min="46" max="46" width="15.625" customWidth="1"/>
    <col min="47" max="47" width="16" customWidth="1"/>
  </cols>
  <sheetData>
    <row r="3" spans="1:47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>
      <c r="A4" s="77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6" priority="8" operator="between">
      <formula>1</formula>
      <formula>5</formula>
    </cfRule>
    <cfRule type="cellIs" dxfId="65" priority="9" operator="lessThan">
      <formula>1</formula>
    </cfRule>
    <cfRule type="containsText" dxfId="64" priority="10" operator="containsText" text="0">
      <formula>NOT(ISERROR(SEARCH("0",C5)))</formula>
    </cfRule>
    <cfRule type="containsText" dxfId="63" priority="11" operator="containsText" text="0">
      <formula>NOT(ISERROR(SEARCH("0",C5)))</formula>
    </cfRule>
    <cfRule type="containsText" dxfId="62" priority="12" operator="containsText" text="1">
      <formula>NOT(ISERROR(SEARCH("1",C5)))</formula>
    </cfRule>
    <cfRule type="containsText" dxfId="61" priority="13" operator="containsText" text="0">
      <formula>NOT(ISERROR(SEARCH("0",C5)))</formula>
    </cfRule>
  </conditionalFormatting>
  <conditionalFormatting sqref="C26:AJ26">
    <cfRule type="cellIs" dxfId="60" priority="1" operator="between">
      <formula>40</formula>
      <formula>50</formula>
    </cfRule>
    <cfRule type="cellIs" dxfId="59" priority="3" operator="greaterThan">
      <formula>70</formula>
    </cfRule>
    <cfRule type="cellIs" dxfId="58" priority="4" operator="between">
      <formula>60</formula>
      <formula>70</formula>
    </cfRule>
    <cfRule type="cellIs" dxfId="57" priority="5" operator="lessThan">
      <formula>40</formula>
    </cfRule>
    <cfRule type="cellIs" dxfId="56" priority="6" operator="between">
      <formula>50</formula>
      <formula>60</formula>
    </cfRule>
  </conditionalFormatting>
  <conditionalFormatting sqref="C27:AJ27">
    <cfRule type="cellIs" dxfId="55" priority="7" operator="between">
      <formula>70</formula>
      <formula>100</formula>
    </cfRule>
  </conditionalFormatting>
  <conditionalFormatting sqref="AR6:AU6">
    <cfRule type="expression" dxfId="5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W58"/>
  <sheetViews>
    <sheetView rightToLeft="1" zoomScale="60" zoomScaleNormal="60" workbookViewId="0">
      <pane ySplit="4" topLeftCell="A6" activePane="bottomLeft" state="frozen"/>
      <selection activeCell="D1" sqref="D1"/>
      <selection pane="bottomLeft" activeCell="A6" sqref="A6"/>
    </sheetView>
  </sheetViews>
  <sheetFormatPr defaultRowHeight="14.25"/>
  <cols>
    <col min="1" max="1" width="4" style="2" customWidth="1"/>
    <col min="2" max="2" width="65.25" style="2" customWidth="1"/>
    <col min="3" max="3" width="11.125" style="2" bestFit="1" customWidth="1"/>
    <col min="4" max="4" width="24.75" bestFit="1" customWidth="1"/>
    <col min="5" max="5" width="18.75" bestFit="1" customWidth="1"/>
    <col min="6" max="6" width="11.125" bestFit="1" customWidth="1"/>
    <col min="7" max="7" width="15.625" bestFit="1" customWidth="1"/>
    <col min="8" max="8" width="15.125" bestFit="1" customWidth="1"/>
    <col min="9" max="9" width="11.125" bestFit="1" customWidth="1"/>
    <col min="10" max="10" width="15.125" bestFit="1" customWidth="1"/>
    <col min="11" max="12" width="18.75" bestFit="1" customWidth="1"/>
    <col min="13" max="17" width="15.125" bestFit="1" customWidth="1"/>
    <col min="18" max="18" width="11.125" bestFit="1" customWidth="1"/>
    <col min="19" max="34" width="15.125" bestFit="1" customWidth="1"/>
    <col min="35" max="35" width="18.75" bestFit="1" customWidth="1"/>
    <col min="36" max="38" width="11.125" bestFit="1" customWidth="1"/>
    <col min="39" max="39" width="24.75" bestFit="1" customWidth="1"/>
    <col min="40" max="40" width="14.625" customWidth="1"/>
    <col min="41" max="41" width="20.125" customWidth="1"/>
    <col min="42" max="42" width="16.25" customWidth="1"/>
    <col min="43" max="43" width="9.125" customWidth="1"/>
    <col min="44" max="44" width="0.25" customWidth="1"/>
    <col min="45" max="45" width="16.75" customWidth="1"/>
    <col min="46" max="46" width="16" customWidth="1"/>
    <col min="47" max="47" width="15.25" customWidth="1"/>
    <col min="48" max="48" width="15.625" customWidth="1"/>
    <col min="49" max="49" width="16" customWidth="1"/>
  </cols>
  <sheetData>
    <row r="3" spans="1:49" ht="50.25" customHeight="1">
      <c r="A3" s="76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>
      <c r="A4" s="77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30.75">
      <c r="A5" s="5">
        <v>1</v>
      </c>
      <c r="B5" s="55" t="s">
        <v>113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30.75">
      <c r="A6" s="5">
        <v>2</v>
      </c>
      <c r="B6" s="55" t="s">
        <v>114</v>
      </c>
      <c r="C6" s="6">
        <v>1</v>
      </c>
      <c r="D6" s="3">
        <v>2</v>
      </c>
      <c r="E6" s="3">
        <v>0</v>
      </c>
      <c r="F6" s="3">
        <v>1</v>
      </c>
      <c r="G6" s="3">
        <v>1</v>
      </c>
      <c r="H6" s="3">
        <v>1</v>
      </c>
      <c r="I6" s="3">
        <v>0</v>
      </c>
      <c r="J6" s="3">
        <v>1</v>
      </c>
      <c r="K6" s="3">
        <v>2</v>
      </c>
      <c r="L6" s="3">
        <v>2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2</v>
      </c>
      <c r="AK6" s="9">
        <v>1</v>
      </c>
      <c r="AL6" s="9">
        <v>1</v>
      </c>
      <c r="AM6" s="26">
        <f t="shared" si="0"/>
        <v>35</v>
      </c>
      <c r="AN6" s="14">
        <f t="shared" si="1"/>
        <v>7</v>
      </c>
      <c r="AO6" s="11">
        <f t="shared" si="2"/>
        <v>14</v>
      </c>
      <c r="AP6" s="10">
        <f t="shared" si="3"/>
        <v>13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30.75">
      <c r="A7" s="5">
        <v>3</v>
      </c>
      <c r="B7" s="55" t="s">
        <v>115</v>
      </c>
      <c r="C7" s="6">
        <v>1</v>
      </c>
      <c r="D7" s="3">
        <v>2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2</v>
      </c>
      <c r="L7" s="3">
        <v>2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1</v>
      </c>
      <c r="W7" s="9">
        <v>1</v>
      </c>
      <c r="X7" s="9">
        <v>1</v>
      </c>
      <c r="Y7" s="9">
        <v>1</v>
      </c>
      <c r="Z7" s="9">
        <v>0</v>
      </c>
      <c r="AA7" s="9">
        <v>1</v>
      </c>
      <c r="AB7" s="9">
        <v>1</v>
      </c>
      <c r="AC7" s="9">
        <v>1</v>
      </c>
      <c r="AD7" s="9">
        <v>0</v>
      </c>
      <c r="AE7" s="9">
        <v>1</v>
      </c>
      <c r="AF7" s="9">
        <v>0</v>
      </c>
      <c r="AG7" s="9">
        <v>0</v>
      </c>
      <c r="AH7" s="9">
        <v>1</v>
      </c>
      <c r="AI7" s="9">
        <v>1</v>
      </c>
      <c r="AJ7" s="9">
        <v>2</v>
      </c>
      <c r="AK7" s="9">
        <v>1</v>
      </c>
      <c r="AL7" s="9">
        <v>1</v>
      </c>
      <c r="AM7" s="26">
        <f t="shared" si="0"/>
        <v>32</v>
      </c>
      <c r="AN7" s="14">
        <f t="shared" si="1"/>
        <v>7</v>
      </c>
      <c r="AO7" s="11">
        <f t="shared" si="2"/>
        <v>13</v>
      </c>
      <c r="AP7" s="10">
        <f t="shared" si="3"/>
        <v>10</v>
      </c>
    </row>
    <row r="8" spans="1:49" ht="30.75">
      <c r="A8" s="5">
        <v>4</v>
      </c>
      <c r="B8" s="55" t="s">
        <v>116</v>
      </c>
      <c r="C8" s="6">
        <v>1</v>
      </c>
      <c r="D8" s="3">
        <v>2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2</v>
      </c>
      <c r="L8" s="3">
        <v>2</v>
      </c>
      <c r="M8" s="3">
        <v>0</v>
      </c>
      <c r="N8" s="3">
        <v>1</v>
      </c>
      <c r="O8" s="3">
        <v>1</v>
      </c>
      <c r="P8" s="3">
        <v>0</v>
      </c>
      <c r="Q8" s="3">
        <v>1</v>
      </c>
      <c r="R8" s="3">
        <v>1</v>
      </c>
      <c r="S8" s="3">
        <v>0</v>
      </c>
      <c r="T8" s="3">
        <v>1</v>
      </c>
      <c r="U8" s="3">
        <v>0</v>
      </c>
      <c r="V8" s="3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9">
        <v>0</v>
      </c>
      <c r="AD8" s="9">
        <v>0</v>
      </c>
      <c r="AE8" s="9">
        <v>1</v>
      </c>
      <c r="AF8" s="9">
        <v>0</v>
      </c>
      <c r="AG8" s="9">
        <v>0</v>
      </c>
      <c r="AH8" s="9">
        <v>1</v>
      </c>
      <c r="AI8" s="9">
        <v>1</v>
      </c>
      <c r="AJ8" s="9">
        <v>2</v>
      </c>
      <c r="AK8" s="9">
        <v>1</v>
      </c>
      <c r="AL8" s="9">
        <v>1</v>
      </c>
      <c r="AM8" s="26">
        <f t="shared" si="0"/>
        <v>29</v>
      </c>
      <c r="AN8" s="14">
        <f t="shared" si="1"/>
        <v>7</v>
      </c>
      <c r="AO8" s="11">
        <f t="shared" si="2"/>
        <v>11</v>
      </c>
      <c r="AP8" s="10">
        <f t="shared" si="3"/>
        <v>9</v>
      </c>
    </row>
    <row r="9" spans="1:49" ht="30.75">
      <c r="A9" s="5">
        <v>5</v>
      </c>
      <c r="B9" s="55" t="s">
        <v>117</v>
      </c>
      <c r="C9" s="6">
        <v>1</v>
      </c>
      <c r="D9" s="3">
        <v>2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2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0</v>
      </c>
      <c r="T9" s="3">
        <v>1</v>
      </c>
      <c r="U9" s="3">
        <v>0</v>
      </c>
      <c r="V9" s="3">
        <v>1</v>
      </c>
      <c r="W9" s="9">
        <v>1</v>
      </c>
      <c r="X9" s="9">
        <v>1</v>
      </c>
      <c r="Y9" s="9">
        <v>1</v>
      </c>
      <c r="Z9" s="9">
        <v>1</v>
      </c>
      <c r="AA9" s="9">
        <v>0</v>
      </c>
      <c r="AB9" s="9">
        <v>1</v>
      </c>
      <c r="AC9" s="9">
        <v>0</v>
      </c>
      <c r="AD9" s="9">
        <v>1</v>
      </c>
      <c r="AE9" s="9">
        <v>1</v>
      </c>
      <c r="AF9" s="9">
        <v>0</v>
      </c>
      <c r="AG9" s="9">
        <v>1</v>
      </c>
      <c r="AH9" s="9">
        <v>1</v>
      </c>
      <c r="AI9" s="9">
        <v>1</v>
      </c>
      <c r="AJ9" s="9">
        <v>1</v>
      </c>
      <c r="AK9" s="9">
        <v>0</v>
      </c>
      <c r="AL9" s="9">
        <v>1</v>
      </c>
      <c r="AM9" s="26">
        <f t="shared" si="0"/>
        <v>29</v>
      </c>
      <c r="AN9" s="14">
        <f t="shared" si="1"/>
        <v>6</v>
      </c>
      <c r="AO9" s="11">
        <f t="shared" si="2"/>
        <v>11</v>
      </c>
      <c r="AP9" s="10">
        <f t="shared" si="3"/>
        <v>10</v>
      </c>
    </row>
    <row r="10" spans="1:49" ht="30.75">
      <c r="A10" s="5">
        <v>6</v>
      </c>
      <c r="B10" s="55" t="s">
        <v>122</v>
      </c>
      <c r="C10" s="6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1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9">
        <v>1</v>
      </c>
      <c r="X10" s="9">
        <v>0</v>
      </c>
      <c r="Y10" s="9">
        <v>0</v>
      </c>
      <c r="Z10" s="9">
        <v>0</v>
      </c>
      <c r="AA10" s="9">
        <v>0</v>
      </c>
      <c r="AB10" s="9">
        <v>1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1</v>
      </c>
      <c r="AI10" s="9">
        <v>0</v>
      </c>
      <c r="AJ10" s="9">
        <v>0</v>
      </c>
      <c r="AK10" s="9">
        <v>1</v>
      </c>
      <c r="AL10" s="9">
        <v>0</v>
      </c>
      <c r="AM10" s="26">
        <f t="shared" si="0"/>
        <v>6</v>
      </c>
      <c r="AN10" s="14">
        <f t="shared" si="1"/>
        <v>1</v>
      </c>
      <c r="AO10" s="11">
        <f t="shared" si="2"/>
        <v>3</v>
      </c>
      <c r="AP10" s="10">
        <f t="shared" si="3"/>
        <v>2</v>
      </c>
    </row>
    <row r="11" spans="1:49" ht="30.75">
      <c r="A11" s="5">
        <v>7</v>
      </c>
      <c r="B11" s="55" t="s">
        <v>119</v>
      </c>
      <c r="C11" s="6">
        <v>1</v>
      </c>
      <c r="D11" s="3">
        <v>1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1</v>
      </c>
      <c r="K11" s="3">
        <v>2</v>
      </c>
      <c r="L11" s="3">
        <v>2</v>
      </c>
      <c r="M11" s="3">
        <v>0</v>
      </c>
      <c r="N11" s="3">
        <v>1</v>
      </c>
      <c r="O11" s="3">
        <v>0</v>
      </c>
      <c r="P11" s="3">
        <v>1</v>
      </c>
      <c r="Q11" s="3">
        <v>1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9">
        <v>1</v>
      </c>
      <c r="X11" s="9">
        <v>1</v>
      </c>
      <c r="Y11" s="9">
        <v>0</v>
      </c>
      <c r="Z11" s="9">
        <v>1</v>
      </c>
      <c r="AA11" s="9">
        <v>1</v>
      </c>
      <c r="AB11" s="9">
        <v>0</v>
      </c>
      <c r="AC11" s="9">
        <v>0</v>
      </c>
      <c r="AD11" s="9">
        <v>0</v>
      </c>
      <c r="AE11" s="9">
        <v>1</v>
      </c>
      <c r="AF11" s="9">
        <v>0</v>
      </c>
      <c r="AG11" s="9">
        <v>0</v>
      </c>
      <c r="AH11" s="9">
        <v>1</v>
      </c>
      <c r="AI11" s="9">
        <v>1</v>
      </c>
      <c r="AJ11" s="9">
        <v>2</v>
      </c>
      <c r="AK11" s="9">
        <v>0</v>
      </c>
      <c r="AL11" s="9">
        <v>1</v>
      </c>
      <c r="AM11" s="26">
        <f t="shared" si="0"/>
        <v>20</v>
      </c>
      <c r="AN11" s="14">
        <f t="shared" si="1"/>
        <v>5</v>
      </c>
      <c r="AO11" s="11">
        <f t="shared" si="2"/>
        <v>7</v>
      </c>
      <c r="AP11" s="10">
        <f t="shared" si="3"/>
        <v>7</v>
      </c>
    </row>
    <row r="12" spans="1:49" ht="30.75">
      <c r="A12" s="5">
        <v>8</v>
      </c>
      <c r="B12" s="55" t="s">
        <v>120</v>
      </c>
      <c r="C12" s="6">
        <v>1</v>
      </c>
      <c r="D12" s="3">
        <v>1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0</v>
      </c>
      <c r="Q12" s="3">
        <v>1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9">
        <v>1</v>
      </c>
      <c r="X12" s="9">
        <v>0</v>
      </c>
      <c r="Y12" s="9">
        <v>0</v>
      </c>
      <c r="Z12" s="9">
        <v>1</v>
      </c>
      <c r="AA12" s="9">
        <v>0</v>
      </c>
      <c r="AB12" s="9">
        <v>1</v>
      </c>
      <c r="AC12" s="9">
        <v>0</v>
      </c>
      <c r="AD12" s="9">
        <v>0</v>
      </c>
      <c r="AE12" s="9">
        <v>0</v>
      </c>
      <c r="AF12" s="9">
        <v>1</v>
      </c>
      <c r="AG12" s="9">
        <v>0</v>
      </c>
      <c r="AH12" s="9">
        <v>1</v>
      </c>
      <c r="AI12" s="9">
        <v>1</v>
      </c>
      <c r="AJ12" s="9">
        <v>0</v>
      </c>
      <c r="AK12" s="9">
        <v>0</v>
      </c>
      <c r="AL12" s="9">
        <v>0</v>
      </c>
      <c r="AM12" s="26">
        <f t="shared" si="0"/>
        <v>17</v>
      </c>
      <c r="AN12" s="14">
        <f t="shared" si="1"/>
        <v>4</v>
      </c>
      <c r="AO12" s="11">
        <f t="shared" si="2"/>
        <v>6</v>
      </c>
      <c r="AP12" s="10">
        <f t="shared" si="3"/>
        <v>6</v>
      </c>
    </row>
    <row r="13" spans="1:49" ht="30.75">
      <c r="A13" s="5">
        <v>9</v>
      </c>
      <c r="B13" s="55" t="s">
        <v>121</v>
      </c>
      <c r="C13" s="6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1</v>
      </c>
      <c r="R13" s="3">
        <v>0</v>
      </c>
      <c r="S13" s="3">
        <v>0</v>
      </c>
      <c r="T13" s="3">
        <v>1</v>
      </c>
      <c r="U13" s="3">
        <v>0</v>
      </c>
      <c r="V13" s="3">
        <v>0</v>
      </c>
      <c r="W13" s="9">
        <v>0</v>
      </c>
      <c r="X13" s="9">
        <v>0</v>
      </c>
      <c r="Y13" s="9">
        <v>1</v>
      </c>
      <c r="Z13" s="9">
        <v>1</v>
      </c>
      <c r="AA13" s="9">
        <v>0</v>
      </c>
      <c r="AB13" s="9">
        <v>1</v>
      </c>
      <c r="AC13" s="9">
        <v>0</v>
      </c>
      <c r="AD13" s="9">
        <v>0</v>
      </c>
      <c r="AE13" s="9">
        <v>1</v>
      </c>
      <c r="AF13" s="9">
        <v>0</v>
      </c>
      <c r="AG13" s="9">
        <v>0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26">
        <f t="shared" si="0"/>
        <v>10</v>
      </c>
      <c r="AN13" s="14">
        <f t="shared" si="1"/>
        <v>2</v>
      </c>
      <c r="AO13" s="11">
        <f t="shared" si="2"/>
        <v>6</v>
      </c>
      <c r="AP13" s="10">
        <f t="shared" si="3"/>
        <v>2</v>
      </c>
    </row>
    <row r="14" spans="1:49" ht="30.75">
      <c r="A14" s="5">
        <v>10</v>
      </c>
      <c r="B14" s="55" t="s">
        <v>118</v>
      </c>
      <c r="C14" s="6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0</v>
      </c>
      <c r="N14" s="3">
        <v>1</v>
      </c>
      <c r="O14" s="3">
        <v>1</v>
      </c>
      <c r="P14" s="3">
        <v>0</v>
      </c>
      <c r="Q14" s="3">
        <v>1</v>
      </c>
      <c r="R14" s="3">
        <v>1</v>
      </c>
      <c r="S14" s="3">
        <v>1</v>
      </c>
      <c r="T14" s="3">
        <v>0</v>
      </c>
      <c r="U14" s="3">
        <v>0</v>
      </c>
      <c r="V14" s="3">
        <v>1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>
        <v>0</v>
      </c>
      <c r="AC14" s="9">
        <v>0</v>
      </c>
      <c r="AD14" s="9">
        <v>0</v>
      </c>
      <c r="AE14" s="9">
        <v>1</v>
      </c>
      <c r="AF14" s="9">
        <v>0</v>
      </c>
      <c r="AG14" s="9">
        <v>0</v>
      </c>
      <c r="AH14" s="9">
        <v>1</v>
      </c>
      <c r="AI14" s="9">
        <v>1</v>
      </c>
      <c r="AJ14" s="9">
        <v>2</v>
      </c>
      <c r="AK14" s="9">
        <v>0</v>
      </c>
      <c r="AL14" s="9">
        <v>1</v>
      </c>
      <c r="AM14" s="26">
        <f t="shared" si="0"/>
        <v>25</v>
      </c>
      <c r="AN14" s="14">
        <f t="shared" si="1"/>
        <v>7</v>
      </c>
      <c r="AO14" s="11">
        <f t="shared" si="2"/>
        <v>10</v>
      </c>
      <c r="AP14" s="10">
        <f t="shared" si="3"/>
        <v>6</v>
      </c>
    </row>
    <row r="15" spans="1:49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8.5" thickBot="1">
      <c r="A25" s="78" t="s">
        <v>19</v>
      </c>
      <c r="B25" s="79"/>
      <c r="C25" s="4">
        <f t="shared" ref="C25:AM25" si="4">AVERAGE(C5:C24)</f>
        <v>0.88888888888888884</v>
      </c>
      <c r="D25" s="4">
        <f t="shared" si="4"/>
        <v>1.2222222222222223</v>
      </c>
      <c r="E25" s="4">
        <f t="shared" si="4"/>
        <v>0.44444444444444442</v>
      </c>
      <c r="F25" s="4">
        <f t="shared" si="4"/>
        <v>0.77777777777777779</v>
      </c>
      <c r="G25" s="4">
        <f t="shared" si="4"/>
        <v>0.77777777777777779</v>
      </c>
      <c r="H25" s="4">
        <f t="shared" si="4"/>
        <v>0.55555555555555558</v>
      </c>
      <c r="I25" s="4">
        <f t="shared" si="4"/>
        <v>0.44444444444444442</v>
      </c>
      <c r="J25" s="4">
        <f t="shared" si="4"/>
        <v>0.88888888888888884</v>
      </c>
      <c r="K25" s="4">
        <f t="shared" si="4"/>
        <v>1.2222222222222223</v>
      </c>
      <c r="L25" s="4">
        <f t="shared" si="4"/>
        <v>1.4444444444444444</v>
      </c>
      <c r="M25" s="4">
        <f t="shared" si="4"/>
        <v>0.44444444444444442</v>
      </c>
      <c r="N25" s="4">
        <f t="shared" si="4"/>
        <v>0.88888888888888884</v>
      </c>
      <c r="O25" s="4">
        <f t="shared" si="4"/>
        <v>0.77777777777777779</v>
      </c>
      <c r="P25" s="4">
        <f t="shared" si="4"/>
        <v>0.44444444444444442</v>
      </c>
      <c r="Q25" s="4">
        <f t="shared" si="4"/>
        <v>0.88888888888888884</v>
      </c>
      <c r="R25" s="4">
        <f t="shared" si="4"/>
        <v>0.55555555555555558</v>
      </c>
      <c r="S25" s="4">
        <f t="shared" si="4"/>
        <v>0.33333333333333331</v>
      </c>
      <c r="T25" s="4">
        <f t="shared" si="4"/>
        <v>0.77777777777777779</v>
      </c>
      <c r="U25" s="4">
        <f t="shared" si="4"/>
        <v>0.1111111111111111</v>
      </c>
      <c r="V25" s="4">
        <f t="shared" si="4"/>
        <v>0.55555555555555558</v>
      </c>
      <c r="W25" s="4">
        <f t="shared" si="4"/>
        <v>0.88888888888888884</v>
      </c>
      <c r="X25" s="4">
        <f t="shared" si="4"/>
        <v>0.66666666666666663</v>
      </c>
      <c r="Y25" s="4">
        <f t="shared" si="4"/>
        <v>0.66666666666666663</v>
      </c>
      <c r="Z25" s="4">
        <f t="shared" si="4"/>
        <v>0.77777777777777779</v>
      </c>
      <c r="AA25" s="4">
        <f t="shared" si="4"/>
        <v>0.55555555555555558</v>
      </c>
      <c r="AB25" s="4">
        <f t="shared" si="4"/>
        <v>0.77777777777777779</v>
      </c>
      <c r="AC25" s="4">
        <f t="shared" si="4"/>
        <v>0.22222222222222221</v>
      </c>
      <c r="AD25" s="4">
        <f t="shared" si="4"/>
        <v>0.22222222222222221</v>
      </c>
      <c r="AE25" s="4">
        <f t="shared" si="4"/>
        <v>0.77777777777777779</v>
      </c>
      <c r="AF25" s="4">
        <f t="shared" si="4"/>
        <v>0.22222222222222221</v>
      </c>
      <c r="AG25" s="4">
        <f t="shared" si="4"/>
        <v>0.22222222222222221</v>
      </c>
      <c r="AH25" s="4">
        <f t="shared" si="4"/>
        <v>1</v>
      </c>
      <c r="AI25" s="4">
        <f t="shared" si="4"/>
        <v>0.77777777777777779</v>
      </c>
      <c r="AJ25" s="4">
        <f t="shared" si="4"/>
        <v>1.2222222222222223</v>
      </c>
      <c r="AK25" s="4">
        <f t="shared" si="4"/>
        <v>0.44444444444444442</v>
      </c>
      <c r="AL25" s="4">
        <f t="shared" si="4"/>
        <v>0.66666666666666663</v>
      </c>
      <c r="AM25" s="4">
        <f t="shared" si="4"/>
        <v>10.15</v>
      </c>
      <c r="AN25" s="19">
        <f>SUM(AN5:AN24)</f>
        <v>46</v>
      </c>
      <c r="AO25" s="19">
        <f>SUM(AO5:AO24)</f>
        <v>81</v>
      </c>
      <c r="AP25" s="19">
        <f>SUM(AP5:AP24)</f>
        <v>65</v>
      </c>
    </row>
    <row r="26" spans="1:42" ht="51.75" customHeight="1" thickTop="1" thickBot="1">
      <c r="A26" s="22"/>
      <c r="B26" s="23" t="s">
        <v>34</v>
      </c>
      <c r="C26" s="30">
        <f t="shared" ref="C26:AM26" si="5">C25/C4*100</f>
        <v>88.888888888888886</v>
      </c>
      <c r="D26" s="30">
        <f t="shared" si="5"/>
        <v>61.111111111111114</v>
      </c>
      <c r="E26" s="30">
        <f t="shared" si="5"/>
        <v>44.444444444444443</v>
      </c>
      <c r="F26" s="30">
        <f t="shared" si="5"/>
        <v>77.777777777777786</v>
      </c>
      <c r="G26" s="30">
        <f t="shared" si="5"/>
        <v>77.777777777777786</v>
      </c>
      <c r="H26" s="30">
        <f t="shared" si="5"/>
        <v>55.555555555555557</v>
      </c>
      <c r="I26" s="30">
        <f t="shared" si="5"/>
        <v>44.444444444444443</v>
      </c>
      <c r="J26" s="30">
        <f t="shared" si="5"/>
        <v>88.888888888888886</v>
      </c>
      <c r="K26" s="30">
        <f t="shared" si="5"/>
        <v>61.111111111111114</v>
      </c>
      <c r="L26" s="30">
        <f t="shared" si="5"/>
        <v>72.222222222222214</v>
      </c>
      <c r="M26" s="30">
        <f t="shared" si="5"/>
        <v>44.444444444444443</v>
      </c>
      <c r="N26" s="30">
        <f t="shared" si="5"/>
        <v>88.888888888888886</v>
      </c>
      <c r="O26" s="30">
        <f t="shared" si="5"/>
        <v>77.777777777777786</v>
      </c>
      <c r="P26" s="30">
        <f t="shared" si="5"/>
        <v>44.444444444444443</v>
      </c>
      <c r="Q26" s="30">
        <f t="shared" si="5"/>
        <v>88.888888888888886</v>
      </c>
      <c r="R26" s="30">
        <f t="shared" si="5"/>
        <v>55.555555555555557</v>
      </c>
      <c r="S26" s="30">
        <f t="shared" si="5"/>
        <v>33.333333333333329</v>
      </c>
      <c r="T26" s="30">
        <f t="shared" si="5"/>
        <v>77.777777777777786</v>
      </c>
      <c r="U26" s="30">
        <f t="shared" si="5"/>
        <v>11.111111111111111</v>
      </c>
      <c r="V26" s="30">
        <f t="shared" si="5"/>
        <v>55.555555555555557</v>
      </c>
      <c r="W26" s="30">
        <f t="shared" si="5"/>
        <v>88.888888888888886</v>
      </c>
      <c r="X26" s="30">
        <f t="shared" si="5"/>
        <v>66.666666666666657</v>
      </c>
      <c r="Y26" s="30">
        <f t="shared" si="5"/>
        <v>66.666666666666657</v>
      </c>
      <c r="Z26" s="30">
        <f t="shared" si="5"/>
        <v>77.777777777777786</v>
      </c>
      <c r="AA26" s="30">
        <f t="shared" si="5"/>
        <v>55.555555555555557</v>
      </c>
      <c r="AB26" s="30">
        <f t="shared" si="5"/>
        <v>77.777777777777786</v>
      </c>
      <c r="AC26" s="30">
        <f t="shared" si="5"/>
        <v>22.222222222222221</v>
      </c>
      <c r="AD26" s="30">
        <f t="shared" si="5"/>
        <v>22.222222222222221</v>
      </c>
      <c r="AE26" s="30">
        <f t="shared" si="5"/>
        <v>77.777777777777786</v>
      </c>
      <c r="AF26" s="30">
        <f t="shared" si="5"/>
        <v>22.222222222222221</v>
      </c>
      <c r="AG26" s="30">
        <f t="shared" si="5"/>
        <v>22.222222222222221</v>
      </c>
      <c r="AH26" s="30">
        <f t="shared" si="5"/>
        <v>100</v>
      </c>
      <c r="AI26" s="30">
        <f t="shared" si="5"/>
        <v>77.777777777777786</v>
      </c>
      <c r="AJ26" s="30">
        <f t="shared" si="5"/>
        <v>61.111111111111114</v>
      </c>
      <c r="AK26" s="30">
        <f t="shared" si="5"/>
        <v>44.444444444444443</v>
      </c>
      <c r="AL26" s="30">
        <f t="shared" si="5"/>
        <v>66.666666666666657</v>
      </c>
      <c r="AM26" s="30">
        <f t="shared" si="5"/>
        <v>25.375000000000004</v>
      </c>
      <c r="AN26" s="19"/>
      <c r="AO26" s="19"/>
      <c r="AP26" s="19"/>
    </row>
    <row r="27" spans="1:42" ht="29.25" thickTop="1" thickBot="1">
      <c r="A27" s="80" t="s">
        <v>4</v>
      </c>
      <c r="B27" s="81"/>
      <c r="C27" s="30" t="str">
        <f t="shared" ref="C27:AM27" si="6">IF(C26&gt;70,"مستوى متميز",IF(C26&gt;60,"مستوى جيد",IF(C26&gt;50,"مستوى ملائم",IF(C26&gt;=40,"مستوى غير ملائم"," يحتاج الى تدخل سريع"))))</f>
        <v>مستوى متميز</v>
      </c>
      <c r="D27" s="30" t="str">
        <f t="shared" si="6"/>
        <v>مستوى جيد</v>
      </c>
      <c r="E27" s="30" t="str">
        <f t="shared" si="6"/>
        <v>مستوى غير ملائم</v>
      </c>
      <c r="F27" s="30" t="str">
        <f t="shared" si="6"/>
        <v>مستوى متميز</v>
      </c>
      <c r="G27" s="30" t="str">
        <f t="shared" si="6"/>
        <v>مستوى متميز</v>
      </c>
      <c r="H27" s="30" t="str">
        <f t="shared" si="6"/>
        <v>مستوى ملائم</v>
      </c>
      <c r="I27" s="30" t="str">
        <f t="shared" si="6"/>
        <v>مستوى غير ملائم</v>
      </c>
      <c r="J27" s="30" t="str">
        <f t="shared" si="6"/>
        <v>مستوى متميز</v>
      </c>
      <c r="K27" s="30" t="str">
        <f t="shared" si="6"/>
        <v>مستوى جيد</v>
      </c>
      <c r="L27" s="30" t="str">
        <f t="shared" si="6"/>
        <v>مستوى متميز</v>
      </c>
      <c r="M27" s="30" t="str">
        <f t="shared" si="6"/>
        <v>مستوى غير ملائم</v>
      </c>
      <c r="N27" s="30" t="str">
        <f t="shared" si="6"/>
        <v>مستوى متميز</v>
      </c>
      <c r="O27" s="30" t="str">
        <f t="shared" si="6"/>
        <v>مستوى متميز</v>
      </c>
      <c r="P27" s="30" t="str">
        <f t="shared" si="6"/>
        <v>مستوى غير ملائم</v>
      </c>
      <c r="Q27" s="30" t="str">
        <f t="shared" si="6"/>
        <v>مستوى متميز</v>
      </c>
      <c r="R27" s="30" t="str">
        <f t="shared" si="6"/>
        <v>مستوى ملائم</v>
      </c>
      <c r="S27" s="30" t="str">
        <f t="shared" si="6"/>
        <v xml:space="preserve"> يحتاج الى تدخل سريع</v>
      </c>
      <c r="T27" s="30" t="str">
        <f t="shared" si="6"/>
        <v>مستوى متميز</v>
      </c>
      <c r="U27" s="30" t="str">
        <f t="shared" si="6"/>
        <v xml:space="preserve"> يحتاج الى تدخل سريع</v>
      </c>
      <c r="V27" s="30" t="str">
        <f t="shared" si="6"/>
        <v>مستوى ملائم</v>
      </c>
      <c r="W27" s="30" t="str">
        <f t="shared" si="6"/>
        <v>مستوى متميز</v>
      </c>
      <c r="X27" s="30" t="str">
        <f t="shared" si="6"/>
        <v>مستوى جيد</v>
      </c>
      <c r="Y27" s="30" t="str">
        <f t="shared" si="6"/>
        <v>مستوى جيد</v>
      </c>
      <c r="Z27" s="30" t="str">
        <f t="shared" si="6"/>
        <v>مستوى متميز</v>
      </c>
      <c r="AA27" s="30" t="str">
        <f t="shared" si="6"/>
        <v>مستوى ملائم</v>
      </c>
      <c r="AB27" s="30" t="str">
        <f t="shared" si="6"/>
        <v>مستوى متميز</v>
      </c>
      <c r="AC27" s="30" t="str">
        <f t="shared" si="6"/>
        <v xml:space="preserve"> يحتاج الى تدخل سريع</v>
      </c>
      <c r="AD27" s="30" t="str">
        <f t="shared" si="6"/>
        <v xml:space="preserve"> يحتاج الى تدخل سريع</v>
      </c>
      <c r="AE27" s="30" t="str">
        <f t="shared" si="6"/>
        <v>مستوى متميز</v>
      </c>
      <c r="AF27" s="30" t="str">
        <f t="shared" si="6"/>
        <v xml:space="preserve"> يحتاج الى تدخل سريع</v>
      </c>
      <c r="AG27" s="30" t="str">
        <f t="shared" si="6"/>
        <v xml:space="preserve"> يحتاج الى تدخل سريع</v>
      </c>
      <c r="AH27" s="30" t="str">
        <f t="shared" si="6"/>
        <v>مستوى متميز</v>
      </c>
      <c r="AI27" s="30" t="str">
        <f t="shared" si="6"/>
        <v>مستوى متميز</v>
      </c>
      <c r="AJ27" s="30" t="str">
        <f t="shared" si="6"/>
        <v>مستوى جيد</v>
      </c>
      <c r="AK27" s="30" t="str">
        <f t="shared" si="6"/>
        <v>مستوى غير ملائم</v>
      </c>
      <c r="AL27" s="30" t="str">
        <f t="shared" si="6"/>
        <v>مستوى جيد</v>
      </c>
      <c r="AM27" s="30" t="str">
        <f t="shared" si="6"/>
        <v xml:space="preserve"> يحتاج الى تدخل سريع</v>
      </c>
    </row>
    <row r="28" spans="1:42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3" priority="1" operator="between">
      <formula>40</formula>
      <formula>50</formula>
    </cfRule>
    <cfRule type="cellIs" dxfId="52" priority="3" operator="greaterThan">
      <formula>70</formula>
    </cfRule>
    <cfRule type="cellIs" dxfId="51" priority="4" operator="between">
      <formula>60</formula>
      <formula>70</formula>
    </cfRule>
    <cfRule type="cellIs" dxfId="50" priority="5" operator="lessThan">
      <formula>40</formula>
    </cfRule>
    <cfRule type="cellIs" dxfId="49" priority="6" operator="between">
      <formula>50</formula>
      <formula>60</formula>
    </cfRule>
  </conditionalFormatting>
  <conditionalFormatting sqref="C27:AM27">
    <cfRule type="cellIs" dxfId="48" priority="7" operator="between">
      <formula>70</formula>
      <formula>100</formula>
    </cfRule>
  </conditionalFormatting>
  <conditionalFormatting sqref="D5:AL24">
    <cfRule type="cellIs" dxfId="47" priority="8" operator="between">
      <formula>1</formula>
      <formula>5</formula>
    </cfRule>
    <cfRule type="cellIs" dxfId="46" priority="9" operator="lessThan">
      <formula>1</formula>
    </cfRule>
    <cfRule type="containsText" dxfId="45" priority="10" operator="containsText" text="0">
      <formula>NOT(ISERROR(SEARCH("0",D5)))</formula>
    </cfRule>
    <cfRule type="containsText" dxfId="44" priority="11" operator="containsText" text="0">
      <formula>NOT(ISERROR(SEARCH("0",D5)))</formula>
    </cfRule>
    <cfRule type="containsText" dxfId="43" priority="12" operator="containsText" text="1">
      <formula>NOT(ISERROR(SEARCH("1",D5)))</formula>
    </cfRule>
    <cfRule type="containsText" dxfId="42" priority="13" operator="containsText" text="0">
      <formula>NOT(ISERROR(SEARCH("0",D5)))</formula>
    </cfRule>
  </conditionalFormatting>
  <conditionalFormatting sqref="AT6:AW6">
    <cfRule type="expression" dxfId="4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11" width="10.25" bestFit="1" customWidth="1"/>
    <col min="12" max="13" width="10.25" customWidth="1"/>
    <col min="14" max="34" width="10.25" bestFit="1" customWidth="1"/>
    <col min="35" max="35" width="10.25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40" priority="8" operator="between">
      <formula>1</formula>
      <formula>5</formula>
    </cfRule>
    <cfRule type="cellIs" dxfId="39" priority="9" operator="lessThan">
      <formula>1</formula>
    </cfRule>
    <cfRule type="containsText" dxfId="38" priority="10" operator="containsText" text="0">
      <formula>NOT(ISERROR(SEARCH("0",C5)))</formula>
    </cfRule>
    <cfRule type="containsText" dxfId="37" priority="11" operator="containsText" text="0">
      <formula>NOT(ISERROR(SEARCH("0",C5)))</formula>
    </cfRule>
    <cfRule type="containsText" dxfId="36" priority="12" operator="containsText" text="1">
      <formula>NOT(ISERROR(SEARCH("1",C5)))</formula>
    </cfRule>
    <cfRule type="containsText" dxfId="35" priority="13" operator="containsText" text="0">
      <formula>NOT(ISERROR(SEARCH("0",C5)))</formula>
    </cfRule>
  </conditionalFormatting>
  <conditionalFormatting sqref="C26:AK26">
    <cfRule type="cellIs" dxfId="34" priority="1" operator="between">
      <formula>40</formula>
      <formula>50</formula>
    </cfRule>
    <cfRule type="cellIs" dxfId="33" priority="3" operator="greaterThan">
      <formula>70</formula>
    </cfRule>
    <cfRule type="cellIs" dxfId="32" priority="4" operator="between">
      <formula>60</formula>
      <formula>70</formula>
    </cfRule>
    <cfRule type="cellIs" dxfId="31" priority="5" operator="lessThan">
      <formula>40</formula>
    </cfRule>
    <cfRule type="cellIs" dxfId="30" priority="6" operator="between">
      <formula>50</formula>
      <formula>60</formula>
    </cfRule>
  </conditionalFormatting>
  <conditionalFormatting sqref="C27:AK27">
    <cfRule type="cellIs" dxfId="29" priority="7" operator="between">
      <formula>70</formula>
      <formula>100</formula>
    </cfRule>
  </conditionalFormatting>
  <conditionalFormatting sqref="AQ6:AT6">
    <cfRule type="expression" dxfId="2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S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AO6" sqref="AO6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9" width="14.125" bestFit="1" customWidth="1"/>
    <col min="10" max="11" width="10.25" bestFit="1" customWidth="1"/>
    <col min="12" max="13" width="10.25" customWidth="1"/>
    <col min="14" max="15" width="10.25" bestFit="1" customWidth="1"/>
    <col min="16" max="16" width="10.25" customWidth="1"/>
    <col min="17" max="34" width="10.25" bestFit="1" customWidth="1"/>
    <col min="35" max="35" width="13" customWidth="1"/>
    <col min="36" max="36" width="14.625" customWidth="1"/>
    <col min="37" max="37" width="20.125" customWidth="1"/>
    <col min="38" max="38" width="16.25" customWidth="1"/>
    <col min="39" max="39" width="9.125" customWidth="1"/>
    <col min="40" max="40" width="0.25" customWidth="1"/>
    <col min="41" max="41" width="16.75" customWidth="1"/>
    <col min="42" max="42" width="16" customWidth="1"/>
    <col min="43" max="43" width="15.25" customWidth="1"/>
    <col min="44" max="44" width="15.625" customWidth="1"/>
    <col min="45" max="45" width="16" customWidth="1"/>
  </cols>
  <sheetData>
    <row r="3" spans="1:45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>
      <c r="A4" s="77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"/>
      <c r="AA6" s="9"/>
      <c r="AB6" s="9"/>
      <c r="AC6" s="9"/>
      <c r="AD6" s="9"/>
      <c r="AE6" s="9"/>
      <c r="AF6" s="9"/>
      <c r="AG6" s="9"/>
      <c r="AH6" s="9"/>
      <c r="AI6" s="26">
        <f t="shared" si="0"/>
        <v>0</v>
      </c>
      <c r="AJ6" s="14">
        <f t="shared" si="1"/>
        <v>0</v>
      </c>
      <c r="AK6" s="34">
        <f t="shared" si="2"/>
        <v>0</v>
      </c>
      <c r="AL6" s="10">
        <f t="shared" si="3"/>
        <v>0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9"/>
      <c r="AA7" s="9"/>
      <c r="AB7" s="9"/>
      <c r="AC7" s="9"/>
      <c r="AD7" s="9"/>
      <c r="AE7" s="9"/>
      <c r="AF7" s="9"/>
      <c r="AG7" s="9"/>
      <c r="AH7" s="9"/>
      <c r="AI7" s="26">
        <f t="shared" si="0"/>
        <v>0</v>
      </c>
      <c r="AJ7" s="14">
        <f t="shared" si="1"/>
        <v>0</v>
      </c>
      <c r="AK7" s="34">
        <f t="shared" si="2"/>
        <v>0</v>
      </c>
      <c r="AL7" s="10">
        <f t="shared" si="3"/>
        <v>0</v>
      </c>
    </row>
    <row r="8" spans="1:45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9"/>
      <c r="AA8" s="9"/>
      <c r="AB8" s="9"/>
      <c r="AC8" s="9"/>
      <c r="AD8" s="9"/>
      <c r="AE8" s="9"/>
      <c r="AF8" s="9"/>
      <c r="AG8" s="9"/>
      <c r="AH8" s="9"/>
      <c r="AI8" s="26">
        <f t="shared" si="0"/>
        <v>0</v>
      </c>
      <c r="AJ8" s="14">
        <f t="shared" si="1"/>
        <v>0</v>
      </c>
      <c r="AK8" s="34">
        <f t="shared" si="2"/>
        <v>0</v>
      </c>
      <c r="AL8" s="10">
        <f t="shared" si="3"/>
        <v>0</v>
      </c>
    </row>
    <row r="9" spans="1:45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9"/>
      <c r="AA9" s="9"/>
      <c r="AB9" s="9"/>
      <c r="AC9" s="9"/>
      <c r="AD9" s="9"/>
      <c r="AE9" s="9"/>
      <c r="AF9" s="9"/>
      <c r="AG9" s="9"/>
      <c r="AH9" s="9"/>
      <c r="AI9" s="26">
        <f t="shared" si="0"/>
        <v>0</v>
      </c>
      <c r="AJ9" s="14">
        <f t="shared" si="1"/>
        <v>0</v>
      </c>
      <c r="AK9" s="34">
        <f t="shared" si="2"/>
        <v>0</v>
      </c>
      <c r="AL9" s="10">
        <f t="shared" si="3"/>
        <v>0</v>
      </c>
    </row>
    <row r="10" spans="1:45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9"/>
      <c r="AA10" s="9"/>
      <c r="AB10" s="9"/>
      <c r="AC10" s="9"/>
      <c r="AD10" s="9"/>
      <c r="AE10" s="9"/>
      <c r="AF10" s="9"/>
      <c r="AG10" s="9"/>
      <c r="AH10" s="9"/>
      <c r="AI10" s="26">
        <f t="shared" si="0"/>
        <v>0</v>
      </c>
      <c r="AJ10" s="14">
        <f t="shared" si="1"/>
        <v>0</v>
      </c>
      <c r="AK10" s="34">
        <f t="shared" si="2"/>
        <v>0</v>
      </c>
      <c r="AL10" s="10">
        <f t="shared" si="3"/>
        <v>0</v>
      </c>
    </row>
    <row r="11" spans="1:45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9"/>
      <c r="AA11" s="9"/>
      <c r="AB11" s="9"/>
      <c r="AC11" s="9"/>
      <c r="AD11" s="9"/>
      <c r="AE11" s="9"/>
      <c r="AF11" s="9"/>
      <c r="AG11" s="9"/>
      <c r="AH11" s="9"/>
      <c r="AI11" s="26">
        <f t="shared" si="0"/>
        <v>0</v>
      </c>
      <c r="AJ11" s="14">
        <f t="shared" si="1"/>
        <v>0</v>
      </c>
      <c r="AK11" s="34">
        <f t="shared" si="2"/>
        <v>0</v>
      </c>
      <c r="AL11" s="10">
        <f t="shared" si="3"/>
        <v>0</v>
      </c>
    </row>
    <row r="12" spans="1:45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9"/>
      <c r="AA12" s="9"/>
      <c r="AB12" s="9"/>
      <c r="AC12" s="9"/>
      <c r="AD12" s="9"/>
      <c r="AE12" s="9"/>
      <c r="AF12" s="9"/>
      <c r="AG12" s="9"/>
      <c r="AH12" s="9"/>
      <c r="AI12" s="26">
        <f t="shared" si="0"/>
        <v>0</v>
      </c>
      <c r="AJ12" s="14">
        <f t="shared" si="1"/>
        <v>0</v>
      </c>
      <c r="AK12" s="34">
        <f t="shared" si="2"/>
        <v>0</v>
      </c>
      <c r="AL12" s="10">
        <f t="shared" si="3"/>
        <v>0</v>
      </c>
    </row>
    <row r="13" spans="1:45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9"/>
      <c r="AB13" s="9"/>
      <c r="AC13" s="9"/>
      <c r="AD13" s="9"/>
      <c r="AE13" s="9"/>
      <c r="AF13" s="9"/>
      <c r="AG13" s="9"/>
      <c r="AH13" s="9"/>
      <c r="AI13" s="26">
        <f t="shared" si="0"/>
        <v>0</v>
      </c>
      <c r="AJ13" s="14">
        <f t="shared" si="1"/>
        <v>0</v>
      </c>
      <c r="AK13" s="34">
        <f t="shared" si="2"/>
        <v>0</v>
      </c>
      <c r="AL13" s="10">
        <f t="shared" si="3"/>
        <v>0</v>
      </c>
    </row>
    <row r="14" spans="1:45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8.5" thickBot="1">
      <c r="A25" s="78" t="s">
        <v>19</v>
      </c>
      <c r="B25" s="79"/>
      <c r="C25" s="4" t="e">
        <f>AVERAGE(C5:C24)</f>
        <v>#DIV/0!</v>
      </c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26" t="e">
        <f>SUM(C25:AH25)</f>
        <v>#DIV/0!</v>
      </c>
      <c r="AJ25" s="19">
        <f>SUM(AJ5:AJ24)</f>
        <v>0</v>
      </c>
      <c r="AK25" s="19">
        <f>SUM(AK5:AK24)</f>
        <v>0</v>
      </c>
      <c r="AL25" s="19">
        <f>SUM(AL5:AL24)</f>
        <v>0</v>
      </c>
    </row>
    <row r="26" spans="1:38" ht="51.75" customHeight="1" thickTop="1" thickBot="1">
      <c r="A26" s="22"/>
      <c r="B26" s="23" t="s">
        <v>34</v>
      </c>
      <c r="C26" s="30" t="e">
        <f t="shared" ref="C26:AI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19"/>
      <c r="AK26" s="19"/>
      <c r="AL26" s="19"/>
    </row>
    <row r="27" spans="1:38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/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/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8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7" priority="8" operator="between">
      <formula>1</formula>
      <formula>5</formula>
    </cfRule>
    <cfRule type="cellIs" dxfId="26" priority="9" operator="lessThan">
      <formula>1</formula>
    </cfRule>
    <cfRule type="containsText" dxfId="25" priority="10" operator="containsText" text="0">
      <formula>NOT(ISERROR(SEARCH("0",C5)))</formula>
    </cfRule>
    <cfRule type="containsText" dxfId="24" priority="11" operator="containsText" text="0">
      <formula>NOT(ISERROR(SEARCH("0",C5)))</formula>
    </cfRule>
    <cfRule type="containsText" dxfId="23" priority="12" operator="containsText" text="1">
      <formula>NOT(ISERROR(SEARCH("1",C5)))</formula>
    </cfRule>
    <cfRule type="containsText" dxfId="22" priority="13" operator="containsText" text="0">
      <formula>NOT(ISERROR(SEARCH("0",C5)))</formula>
    </cfRule>
  </conditionalFormatting>
  <conditionalFormatting sqref="C26:AI26">
    <cfRule type="cellIs" dxfId="21" priority="1" operator="between">
      <formula>40</formula>
      <formula>50</formula>
    </cfRule>
    <cfRule type="cellIs" dxfId="20" priority="3" operator="greaterThan">
      <formula>70</formula>
    </cfRule>
    <cfRule type="cellIs" dxfId="19" priority="4" operator="between">
      <formula>60</formula>
      <formula>70</formula>
    </cfRule>
    <cfRule type="cellIs" dxfId="18" priority="5" operator="lessThan">
      <formula>40</formula>
    </cfRule>
    <cfRule type="cellIs" dxfId="17" priority="6" operator="between">
      <formula>50</formula>
      <formula>60</formula>
    </cfRule>
  </conditionalFormatting>
  <conditionalFormatting sqref="C27:AI27">
    <cfRule type="cellIs" dxfId="16" priority="7" operator="between">
      <formula>70</formula>
      <formula>100</formula>
    </cfRule>
  </conditionalFormatting>
  <conditionalFormatting sqref="AP6:AS6">
    <cfRule type="expression" dxfId="1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BA58"/>
  <sheetViews>
    <sheetView rightToLeft="1" zoomScale="50" zoomScaleNormal="50" workbookViewId="0">
      <pane ySplit="4" topLeftCell="A13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6" width="11.125" customWidth="1"/>
    <col min="7" max="8" width="14.625" customWidth="1"/>
    <col min="9" max="10" width="10.25" bestFit="1" customWidth="1"/>
    <col min="11" max="12" width="10.25" customWidth="1"/>
    <col min="13" max="15" width="10.25" bestFit="1" customWidth="1"/>
    <col min="16" max="18" width="10.25" customWidth="1"/>
    <col min="19" max="19" width="10.25" bestFit="1" customWidth="1"/>
    <col min="20" max="20" width="10.25" customWidth="1"/>
    <col min="21" max="24" width="10.25" bestFit="1" customWidth="1"/>
    <col min="25" max="25" width="10.25" customWidth="1"/>
    <col min="26" max="27" width="10.25" bestFit="1" customWidth="1"/>
    <col min="28" max="28" width="10.25" customWidth="1"/>
    <col min="29" max="42" width="10.25" bestFit="1" customWidth="1"/>
    <col min="43" max="43" width="13" customWidth="1"/>
    <col min="44" max="44" width="14.625" customWidth="1"/>
    <col min="45" max="45" width="20.125" customWidth="1"/>
    <col min="46" max="46" width="22.625" customWidth="1"/>
    <col min="47" max="47" width="14.875" customWidth="1"/>
    <col min="48" max="48" width="10.25" customWidth="1"/>
    <col min="49" max="49" width="16.75" customWidth="1"/>
    <col min="50" max="50" width="16" customWidth="1"/>
    <col min="51" max="51" width="15.25" customWidth="1"/>
    <col min="52" max="52" width="15.625" customWidth="1"/>
    <col min="53" max="53" width="16" customWidth="1"/>
  </cols>
  <sheetData>
    <row r="3" spans="1:53" ht="50.25" customHeight="1">
      <c r="A3" s="76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>
      <c r="A4" s="77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9"/>
      <c r="AH5" s="9"/>
      <c r="AI5" s="9"/>
      <c r="AJ5" s="9"/>
      <c r="AK5" s="9"/>
      <c r="AL5" s="9"/>
      <c r="AM5" s="9"/>
      <c r="AN5" s="9"/>
      <c r="AO5" s="9">
        <v>1</v>
      </c>
      <c r="AP5" s="9">
        <v>1</v>
      </c>
      <c r="AQ5" s="26">
        <f t="shared" ref="AQ5:AQ24" si="0">SUM(C5:AP5)</f>
        <v>2</v>
      </c>
      <c r="AR5" s="39">
        <f t="shared" ref="AR5:AR24" si="1">AI5+AE5+AB5+U5+G5</f>
        <v>0</v>
      </c>
      <c r="AS5" s="40">
        <f t="shared" ref="AS5:AS24" si="2">AO5+AL5+AK5+AH5+AD5+Z5+X5+W5+V5+S5+J5+I5</f>
        <v>1</v>
      </c>
      <c r="AT5" s="41">
        <f t="shared" ref="AT5:AT8" si="3">AJ5+AG5+AF5+AA5+Y5+T5+R5+Q5+P5+M5+L5+K5+H5+F5+C5+AP5</f>
        <v>1</v>
      </c>
      <c r="AU5" s="42">
        <f t="shared" ref="AU5:AU24" si="4">AN5+AM5+AC5+O5+N5+E5+D5</f>
        <v>0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9"/>
      <c r="AH6" s="9"/>
      <c r="AI6" s="9"/>
      <c r="AJ6" s="9"/>
      <c r="AK6" s="9"/>
      <c r="AL6" s="9"/>
      <c r="AM6" s="9"/>
      <c r="AN6" s="9"/>
      <c r="AO6" s="9"/>
      <c r="AP6" s="9">
        <v>1</v>
      </c>
      <c r="AQ6" s="26">
        <f t="shared" si="0"/>
        <v>1</v>
      </c>
      <c r="AR6" s="39">
        <f t="shared" si="1"/>
        <v>0</v>
      </c>
      <c r="AS6" s="40">
        <f t="shared" si="2"/>
        <v>0</v>
      </c>
      <c r="AT6" s="41">
        <f t="shared" si="3"/>
        <v>1</v>
      </c>
      <c r="AU6" s="42">
        <f t="shared" si="4"/>
        <v>0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9"/>
      <c r="AH7" s="9"/>
      <c r="AI7" s="9"/>
      <c r="AJ7" s="9"/>
      <c r="AK7" s="9"/>
      <c r="AL7" s="9"/>
      <c r="AM7" s="9"/>
      <c r="AN7" s="9"/>
      <c r="AO7" s="9"/>
      <c r="AP7" s="9">
        <v>1</v>
      </c>
      <c r="AQ7" s="26">
        <f t="shared" si="0"/>
        <v>1</v>
      </c>
      <c r="AR7" s="39">
        <f t="shared" si="1"/>
        <v>0</v>
      </c>
      <c r="AS7" s="40">
        <f t="shared" si="2"/>
        <v>0</v>
      </c>
      <c r="AT7" s="41">
        <f t="shared" si="3"/>
        <v>1</v>
      </c>
      <c r="AU7" s="42">
        <f t="shared" si="4"/>
        <v>0</v>
      </c>
    </row>
    <row r="8" spans="1:5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9"/>
      <c r="AH8" s="9"/>
      <c r="AI8" s="9"/>
      <c r="AJ8" s="9"/>
      <c r="AK8" s="9"/>
      <c r="AL8" s="9"/>
      <c r="AM8" s="9"/>
      <c r="AN8" s="9"/>
      <c r="AO8" s="9"/>
      <c r="AP8" s="9">
        <v>2</v>
      </c>
      <c r="AQ8" s="26">
        <f t="shared" si="0"/>
        <v>2</v>
      </c>
      <c r="AR8" s="39">
        <f t="shared" si="1"/>
        <v>0</v>
      </c>
      <c r="AS8" s="40">
        <f t="shared" si="2"/>
        <v>0</v>
      </c>
      <c r="AT8" s="41">
        <f t="shared" si="3"/>
        <v>2</v>
      </c>
      <c r="AU8" s="42">
        <f t="shared" si="4"/>
        <v>0</v>
      </c>
    </row>
    <row r="9" spans="1:5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9"/>
      <c r="AH9" s="9"/>
      <c r="AI9" s="9"/>
      <c r="AJ9" s="9"/>
      <c r="AK9" s="9"/>
      <c r="AL9" s="9"/>
      <c r="AM9" s="9"/>
      <c r="AN9" s="9"/>
      <c r="AO9" s="9"/>
      <c r="AP9" s="9"/>
      <c r="AQ9" s="26">
        <f t="shared" si="0"/>
        <v>0</v>
      </c>
      <c r="AR9" s="39">
        <f t="shared" si="1"/>
        <v>0</v>
      </c>
      <c r="AS9" s="40">
        <f t="shared" si="2"/>
        <v>0</v>
      </c>
      <c r="AT9" s="41">
        <f t="shared" ref="AT9" si="5">AP9+AJ9+AG9+AF9+AA9+Y9+T9+R9+Q9+P9+M9+AG29+L9+K9+H9+F9+C9</f>
        <v>0</v>
      </c>
      <c r="AU9" s="42">
        <f t="shared" si="4"/>
        <v>0</v>
      </c>
    </row>
    <row r="10" spans="1:5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26">
        <f t="shared" si="0"/>
        <v>0</v>
      </c>
      <c r="AR10" s="39">
        <f t="shared" si="1"/>
        <v>0</v>
      </c>
      <c r="AS10" s="40">
        <f t="shared" si="2"/>
        <v>0</v>
      </c>
      <c r="AT10" s="41">
        <f t="shared" ref="AT10:AT24" si="6">AP10+AJ10+AG10+AF10+AA10+Y10+T10+R10+Q10+P10+M10+AG30+L10+K10+H10+F10+C10</f>
        <v>0</v>
      </c>
      <c r="AU10" s="42">
        <f t="shared" si="4"/>
        <v>0</v>
      </c>
    </row>
    <row r="11" spans="1:5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26">
        <f t="shared" si="0"/>
        <v>0</v>
      </c>
      <c r="AR11" s="39">
        <f t="shared" si="1"/>
        <v>0</v>
      </c>
      <c r="AS11" s="40">
        <f t="shared" si="2"/>
        <v>0</v>
      </c>
      <c r="AT11" s="41">
        <f t="shared" si="6"/>
        <v>0</v>
      </c>
      <c r="AU11" s="42">
        <f t="shared" si="4"/>
        <v>0</v>
      </c>
    </row>
    <row r="12" spans="1:5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26">
        <f t="shared" si="0"/>
        <v>0</v>
      </c>
      <c r="AR12" s="39">
        <f t="shared" si="1"/>
        <v>0</v>
      </c>
      <c r="AS12" s="40">
        <f t="shared" si="2"/>
        <v>0</v>
      </c>
      <c r="AT12" s="41">
        <f t="shared" si="6"/>
        <v>0</v>
      </c>
      <c r="AU12" s="42">
        <f t="shared" si="4"/>
        <v>0</v>
      </c>
    </row>
    <row r="13" spans="1:5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26">
        <f t="shared" si="0"/>
        <v>0</v>
      </c>
      <c r="AR13" s="39">
        <f t="shared" si="1"/>
        <v>0</v>
      </c>
      <c r="AS13" s="40">
        <f t="shared" si="2"/>
        <v>0</v>
      </c>
      <c r="AT13" s="41">
        <f t="shared" si="6"/>
        <v>0</v>
      </c>
      <c r="AU13" s="42">
        <f t="shared" si="4"/>
        <v>0</v>
      </c>
    </row>
    <row r="14" spans="1:5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8.5" thickBot="1">
      <c r="A25" s="78" t="s">
        <v>19</v>
      </c>
      <c r="B25" s="79"/>
      <c r="C25" s="4" t="e">
        <f>AVERAGE(C5:C24)</f>
        <v>#DIV/0!</v>
      </c>
      <c r="D25" s="4" t="e">
        <f t="shared" ref="D25:AQ25" si="7">AVERAGE(D5:D24)</f>
        <v>#DIV/0!</v>
      </c>
      <c r="E25" s="4" t="e">
        <f t="shared" si="7"/>
        <v>#DIV/0!</v>
      </c>
      <c r="F25" s="4" t="e">
        <f t="shared" si="7"/>
        <v>#DIV/0!</v>
      </c>
      <c r="G25" s="4" t="e">
        <f t="shared" si="7"/>
        <v>#DIV/0!</v>
      </c>
      <c r="H25" s="4" t="e">
        <f t="shared" si="7"/>
        <v>#DIV/0!</v>
      </c>
      <c r="I25" s="4" t="e">
        <f t="shared" si="7"/>
        <v>#DIV/0!</v>
      </c>
      <c r="J25" s="4" t="e">
        <f t="shared" si="7"/>
        <v>#DIV/0!</v>
      </c>
      <c r="K25" s="4" t="e">
        <f t="shared" si="7"/>
        <v>#DIV/0!</v>
      </c>
      <c r="L25" s="4" t="e">
        <f t="shared" si="7"/>
        <v>#DIV/0!</v>
      </c>
      <c r="M25" s="4" t="e">
        <f t="shared" si="7"/>
        <v>#DIV/0!</v>
      </c>
      <c r="N25" s="4" t="e">
        <f t="shared" si="7"/>
        <v>#DIV/0!</v>
      </c>
      <c r="O25" s="4" t="e">
        <f t="shared" si="7"/>
        <v>#DIV/0!</v>
      </c>
      <c r="P25" s="4" t="e">
        <f t="shared" si="7"/>
        <v>#DIV/0!</v>
      </c>
      <c r="Q25" s="4" t="e">
        <f t="shared" si="7"/>
        <v>#DIV/0!</v>
      </c>
      <c r="R25" s="4" t="e">
        <f t="shared" si="7"/>
        <v>#DIV/0!</v>
      </c>
      <c r="S25" s="4" t="e">
        <f t="shared" si="7"/>
        <v>#DIV/0!</v>
      </c>
      <c r="T25" s="4" t="e">
        <f t="shared" si="7"/>
        <v>#DIV/0!</v>
      </c>
      <c r="U25" s="4" t="e">
        <f t="shared" si="7"/>
        <v>#DIV/0!</v>
      </c>
      <c r="V25" s="4" t="e">
        <f t="shared" si="7"/>
        <v>#DIV/0!</v>
      </c>
      <c r="W25" s="4" t="e">
        <f t="shared" si="7"/>
        <v>#DIV/0!</v>
      </c>
      <c r="X25" s="4" t="e">
        <f t="shared" si="7"/>
        <v>#DIV/0!</v>
      </c>
      <c r="Y25" s="4" t="e">
        <f t="shared" si="7"/>
        <v>#DIV/0!</v>
      </c>
      <c r="Z25" s="4" t="e">
        <f t="shared" si="7"/>
        <v>#DIV/0!</v>
      </c>
      <c r="AA25" s="4" t="e">
        <f t="shared" si="7"/>
        <v>#DIV/0!</v>
      </c>
      <c r="AB25" s="4" t="e">
        <f t="shared" si="7"/>
        <v>#DIV/0!</v>
      </c>
      <c r="AC25" s="4" t="e">
        <f t="shared" si="7"/>
        <v>#DIV/0!</v>
      </c>
      <c r="AD25" s="4" t="e">
        <f t="shared" si="7"/>
        <v>#DIV/0!</v>
      </c>
      <c r="AE25" s="4" t="e">
        <f t="shared" si="7"/>
        <v>#DIV/0!</v>
      </c>
      <c r="AF25" s="4" t="e">
        <f t="shared" si="7"/>
        <v>#DIV/0!</v>
      </c>
      <c r="AG25" s="4" t="e">
        <f t="shared" si="7"/>
        <v>#DIV/0!</v>
      </c>
      <c r="AH25" s="4" t="e">
        <f t="shared" si="7"/>
        <v>#DIV/0!</v>
      </c>
      <c r="AI25" s="4" t="e">
        <f t="shared" si="7"/>
        <v>#DIV/0!</v>
      </c>
      <c r="AJ25" s="4" t="e">
        <f t="shared" si="7"/>
        <v>#DIV/0!</v>
      </c>
      <c r="AK25" s="4" t="e">
        <f t="shared" si="7"/>
        <v>#DIV/0!</v>
      </c>
      <c r="AL25" s="4" t="e">
        <f t="shared" si="7"/>
        <v>#DIV/0!</v>
      </c>
      <c r="AM25" s="4" t="e">
        <f t="shared" si="7"/>
        <v>#DIV/0!</v>
      </c>
      <c r="AN25" s="4" t="e">
        <f t="shared" si="7"/>
        <v>#DIV/0!</v>
      </c>
      <c r="AO25" s="4">
        <f t="shared" si="7"/>
        <v>1</v>
      </c>
      <c r="AP25" s="4">
        <f t="shared" si="7"/>
        <v>1.25</v>
      </c>
      <c r="AQ25" s="4">
        <f t="shared" si="7"/>
        <v>0.3</v>
      </c>
      <c r="AR25" s="26" t="e">
        <f>SUM(D25:AQ25)</f>
        <v>#DIV/0!</v>
      </c>
      <c r="AS25" s="19">
        <f>SUM(AS5:AS24)</f>
        <v>1</v>
      </c>
      <c r="AT25" s="19">
        <f>SUM(AT5:AT24)</f>
        <v>5</v>
      </c>
    </row>
    <row r="26" spans="1:47" ht="51.75" customHeight="1" thickTop="1" thickBot="1">
      <c r="A26" s="22"/>
      <c r="B26" s="23" t="s">
        <v>34</v>
      </c>
      <c r="C26" s="30" t="e">
        <f t="shared" ref="C26:AR26" si="8">C25/C4*100</f>
        <v>#DIV/0!</v>
      </c>
      <c r="D26" s="30" t="e">
        <f t="shared" si="8"/>
        <v>#DIV/0!</v>
      </c>
      <c r="E26" s="30" t="e">
        <f t="shared" si="8"/>
        <v>#DIV/0!</v>
      </c>
      <c r="F26" s="30" t="e">
        <f t="shared" si="8"/>
        <v>#DIV/0!</v>
      </c>
      <c r="G26" s="30" t="e">
        <f t="shared" si="8"/>
        <v>#DIV/0!</v>
      </c>
      <c r="H26" s="30" t="e">
        <f t="shared" si="8"/>
        <v>#DIV/0!</v>
      </c>
      <c r="I26" s="30" t="e">
        <f t="shared" si="8"/>
        <v>#DIV/0!</v>
      </c>
      <c r="J26" s="30" t="e">
        <f t="shared" si="8"/>
        <v>#DIV/0!</v>
      </c>
      <c r="K26" s="30" t="e">
        <f t="shared" si="8"/>
        <v>#DIV/0!</v>
      </c>
      <c r="L26" s="30" t="e">
        <f t="shared" si="8"/>
        <v>#DIV/0!</v>
      </c>
      <c r="M26" s="30" t="e">
        <f t="shared" si="8"/>
        <v>#DIV/0!</v>
      </c>
      <c r="N26" s="30" t="e">
        <f t="shared" si="8"/>
        <v>#DIV/0!</v>
      </c>
      <c r="O26" s="30" t="e">
        <f t="shared" si="8"/>
        <v>#DIV/0!</v>
      </c>
      <c r="P26" s="30" t="e">
        <f t="shared" si="8"/>
        <v>#DIV/0!</v>
      </c>
      <c r="Q26" s="30" t="e">
        <f t="shared" si="8"/>
        <v>#DIV/0!</v>
      </c>
      <c r="R26" s="30" t="e">
        <f t="shared" si="8"/>
        <v>#DIV/0!</v>
      </c>
      <c r="S26" s="30" t="e">
        <f t="shared" si="8"/>
        <v>#DIV/0!</v>
      </c>
      <c r="T26" s="30" t="e">
        <f t="shared" si="8"/>
        <v>#DIV/0!</v>
      </c>
      <c r="U26" s="30" t="e">
        <f t="shared" si="8"/>
        <v>#DIV/0!</v>
      </c>
      <c r="V26" s="30" t="e">
        <f t="shared" si="8"/>
        <v>#DIV/0!</v>
      </c>
      <c r="W26" s="30" t="e">
        <f t="shared" si="8"/>
        <v>#DIV/0!</v>
      </c>
      <c r="X26" s="30" t="e">
        <f t="shared" si="8"/>
        <v>#DIV/0!</v>
      </c>
      <c r="Y26" s="30" t="e">
        <f t="shared" si="8"/>
        <v>#DIV/0!</v>
      </c>
      <c r="Z26" s="30" t="e">
        <f t="shared" si="8"/>
        <v>#DIV/0!</v>
      </c>
      <c r="AA26" s="30" t="e">
        <f t="shared" si="8"/>
        <v>#DIV/0!</v>
      </c>
      <c r="AB26" s="30" t="e">
        <f t="shared" si="8"/>
        <v>#DIV/0!</v>
      </c>
      <c r="AC26" s="30" t="e">
        <f t="shared" si="8"/>
        <v>#DIV/0!</v>
      </c>
      <c r="AD26" s="30" t="e">
        <f t="shared" si="8"/>
        <v>#DIV/0!</v>
      </c>
      <c r="AE26" s="30" t="e">
        <f t="shared" si="8"/>
        <v>#DIV/0!</v>
      </c>
      <c r="AF26" s="30" t="e">
        <f t="shared" si="8"/>
        <v>#DIV/0!</v>
      </c>
      <c r="AG26" s="30" t="e">
        <f t="shared" si="8"/>
        <v>#DIV/0!</v>
      </c>
      <c r="AH26" s="30" t="e">
        <f t="shared" si="8"/>
        <v>#DIV/0!</v>
      </c>
      <c r="AI26" s="30" t="e">
        <f t="shared" si="8"/>
        <v>#DIV/0!</v>
      </c>
      <c r="AJ26" s="30" t="e">
        <f t="shared" si="8"/>
        <v>#DIV/0!</v>
      </c>
      <c r="AK26" s="30" t="e">
        <f t="shared" si="8"/>
        <v>#DIV/0!</v>
      </c>
      <c r="AL26" s="30" t="e">
        <f t="shared" si="8"/>
        <v>#DIV/0!</v>
      </c>
      <c r="AM26" s="30" t="e">
        <f t="shared" si="8"/>
        <v>#DIV/0!</v>
      </c>
      <c r="AN26" s="30" t="e">
        <f t="shared" si="8"/>
        <v>#DIV/0!</v>
      </c>
      <c r="AO26" s="30">
        <f t="shared" si="8"/>
        <v>100</v>
      </c>
      <c r="AP26" s="30">
        <f t="shared" si="8"/>
        <v>125</v>
      </c>
      <c r="AQ26" s="30">
        <f t="shared" si="8"/>
        <v>0.5</v>
      </c>
      <c r="AR26" s="30" t="e">
        <f t="shared" si="8"/>
        <v>#DIV/0!</v>
      </c>
      <c r="AS26" s="19"/>
      <c r="AT26" s="19"/>
    </row>
    <row r="27" spans="1:47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R27" si="9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9"/>
        <v>#DIV/0!</v>
      </c>
      <c r="F27" s="30" t="e">
        <f t="shared" si="9"/>
        <v>#DIV/0!</v>
      </c>
      <c r="G27" s="30" t="e">
        <f t="shared" si="9"/>
        <v>#DIV/0!</v>
      </c>
      <c r="H27" s="30" t="e">
        <f t="shared" si="9"/>
        <v>#DIV/0!</v>
      </c>
      <c r="I27" s="30" t="e">
        <f t="shared" si="9"/>
        <v>#DIV/0!</v>
      </c>
      <c r="J27" s="30" t="e">
        <f t="shared" si="9"/>
        <v>#DIV/0!</v>
      </c>
      <c r="K27" s="30" t="e">
        <f t="shared" si="9"/>
        <v>#DIV/0!</v>
      </c>
      <c r="L27" s="30" t="e">
        <f t="shared" si="9"/>
        <v>#DIV/0!</v>
      </c>
      <c r="M27" s="30" t="e">
        <f t="shared" si="9"/>
        <v>#DIV/0!</v>
      </c>
      <c r="N27" s="30" t="e">
        <f t="shared" si="9"/>
        <v>#DIV/0!</v>
      </c>
      <c r="O27" s="30" t="e">
        <f t="shared" si="9"/>
        <v>#DIV/0!</v>
      </c>
      <c r="P27" s="30" t="e">
        <f t="shared" si="9"/>
        <v>#DIV/0!</v>
      </c>
      <c r="Q27" s="30" t="e">
        <f t="shared" si="9"/>
        <v>#DIV/0!</v>
      </c>
      <c r="R27" s="30" t="e">
        <f t="shared" si="9"/>
        <v>#DIV/0!</v>
      </c>
      <c r="S27" s="30" t="e">
        <f t="shared" si="9"/>
        <v>#DIV/0!</v>
      </c>
      <c r="T27" s="30" t="e">
        <f t="shared" si="9"/>
        <v>#DIV/0!</v>
      </c>
      <c r="U27" s="30" t="e">
        <f t="shared" si="9"/>
        <v>#DIV/0!</v>
      </c>
      <c r="V27" s="30" t="e">
        <f t="shared" si="9"/>
        <v>#DIV/0!</v>
      </c>
      <c r="W27" s="30" t="e">
        <f t="shared" si="9"/>
        <v>#DIV/0!</v>
      </c>
      <c r="X27" s="30" t="e">
        <f t="shared" si="9"/>
        <v>#DIV/0!</v>
      </c>
      <c r="Y27" s="30" t="e">
        <f t="shared" si="9"/>
        <v>#DIV/0!</v>
      </c>
      <c r="Z27" s="30" t="e">
        <f t="shared" si="9"/>
        <v>#DIV/0!</v>
      </c>
      <c r="AA27" s="30" t="e">
        <f t="shared" si="9"/>
        <v>#DIV/0!</v>
      </c>
      <c r="AB27" s="30" t="e">
        <f t="shared" si="9"/>
        <v>#DIV/0!</v>
      </c>
      <c r="AC27" s="30" t="e">
        <f t="shared" si="9"/>
        <v>#DIV/0!</v>
      </c>
      <c r="AD27" s="30" t="e">
        <f t="shared" si="9"/>
        <v>#DIV/0!</v>
      </c>
      <c r="AE27" s="30" t="e">
        <f t="shared" si="9"/>
        <v>#DIV/0!</v>
      </c>
      <c r="AF27" s="30" t="e">
        <f t="shared" si="9"/>
        <v>#DIV/0!</v>
      </c>
      <c r="AG27" s="30" t="e">
        <f t="shared" si="9"/>
        <v>#DIV/0!</v>
      </c>
      <c r="AH27" s="30" t="e">
        <f t="shared" si="9"/>
        <v>#DIV/0!</v>
      </c>
      <c r="AI27" s="30" t="e">
        <f t="shared" si="9"/>
        <v>#DIV/0!</v>
      </c>
      <c r="AJ27" s="30" t="e">
        <f t="shared" si="9"/>
        <v>#DIV/0!</v>
      </c>
      <c r="AK27" s="30" t="e">
        <f t="shared" si="9"/>
        <v>#DIV/0!</v>
      </c>
      <c r="AL27" s="30" t="e">
        <f t="shared" si="9"/>
        <v>#DIV/0!</v>
      </c>
      <c r="AM27" s="30" t="e">
        <f t="shared" si="9"/>
        <v>#DIV/0!</v>
      </c>
      <c r="AN27" s="30" t="e">
        <f t="shared" si="9"/>
        <v>#DIV/0!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e">
        <f t="shared" si="9"/>
        <v>#DIV/0!</v>
      </c>
    </row>
    <row r="28" spans="1:4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4" priority="8" operator="between">
      <formula>1</formula>
      <formula>5</formula>
    </cfRule>
    <cfRule type="cellIs" dxfId="13" priority="9" operator="lessThan">
      <formula>1</formula>
    </cfRule>
    <cfRule type="containsText" dxfId="12" priority="10" operator="containsText" text="0">
      <formula>NOT(ISERROR(SEARCH("0",C5)))</formula>
    </cfRule>
    <cfRule type="containsText" dxfId="11" priority="11" operator="containsText" text="0">
      <formula>NOT(ISERROR(SEARCH("0",C5)))</formula>
    </cfRule>
    <cfRule type="containsText" dxfId="10" priority="12" operator="containsText" text="1">
      <formula>NOT(ISERROR(SEARCH("1",C5)))</formula>
    </cfRule>
    <cfRule type="containsText" dxfId="9" priority="13" operator="containsText" text="0">
      <formula>NOT(ISERROR(SEARCH("0",C5)))</formula>
    </cfRule>
  </conditionalFormatting>
  <conditionalFormatting sqref="C26:AR26">
    <cfRule type="cellIs" dxfId="8" priority="1" operator="between">
      <formula>40</formula>
      <formula>50</formula>
    </cfRule>
    <cfRule type="cellIs" dxfId="7" priority="3" operator="greaterThan">
      <formula>70</formula>
    </cfRule>
    <cfRule type="cellIs" dxfId="6" priority="4" operator="between">
      <formula>60</formula>
      <formula>70</formula>
    </cfRule>
    <cfRule type="cellIs" dxfId="5" priority="5" operator="lessThan">
      <formula>40</formula>
    </cfRule>
    <cfRule type="cellIs" dxfId="4" priority="6" operator="between">
      <formula>50</formula>
      <formula>60</formula>
    </cfRule>
  </conditionalFormatting>
  <conditionalFormatting sqref="C27:AR27">
    <cfRule type="cellIs" dxfId="3" priority="7" operator="between">
      <formula>70</formula>
      <formula>100</formula>
    </cfRule>
  </conditionalFormatting>
  <conditionalFormatting sqref="AX6:BA6">
    <cfRule type="expression" dxfId="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rightToLeft="1" workbookViewId="0">
      <selection activeCell="C12" sqref="C12"/>
    </sheetView>
  </sheetViews>
  <sheetFormatPr defaultRowHeight="14.25"/>
  <cols>
    <col min="1" max="1" width="22.875" customWidth="1"/>
    <col min="4" max="4" width="19" customWidth="1"/>
  </cols>
  <sheetData>
    <row r="1" spans="1:4" ht="23.25">
      <c r="A1" s="1"/>
    </row>
    <row r="2" spans="1:4" ht="23.25">
      <c r="A2" s="1"/>
      <c r="D2" t="s">
        <v>7</v>
      </c>
    </row>
    <row r="3" spans="1:4" ht="23.25">
      <c r="A3" s="1"/>
      <c r="D3" s="7" t="s">
        <v>8</v>
      </c>
    </row>
    <row r="4" spans="1:4" ht="23.25">
      <c r="A4" s="1"/>
      <c r="D4" s="7" t="s">
        <v>9</v>
      </c>
    </row>
    <row r="5" spans="1:4" ht="23.25">
      <c r="A5" s="1"/>
      <c r="D5" s="7" t="s">
        <v>10</v>
      </c>
    </row>
    <row r="6" spans="1:4" ht="23.25">
      <c r="A6" s="1"/>
    </row>
    <row r="7" spans="1:4" ht="23.25">
      <c r="A7" s="1"/>
    </row>
    <row r="8" spans="1:4" ht="23.25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نطاقات تمت تسميتها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Alamri Aamer</cp:lastModifiedBy>
  <cp:lastPrinted>2023-01-22T03:44:15Z</cp:lastPrinted>
  <dcterms:created xsi:type="dcterms:W3CDTF">2023-01-10T03:42:57Z</dcterms:created>
  <dcterms:modified xsi:type="dcterms:W3CDTF">2026-01-29T11:36:50Z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