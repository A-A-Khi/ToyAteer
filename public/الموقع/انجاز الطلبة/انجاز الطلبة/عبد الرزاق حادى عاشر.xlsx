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ورقة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7" i="1" l="1"/>
  <c r="AH39" i="1" s="1"/>
  <c r="AI37" i="1"/>
  <c r="AI39" i="1" s="1"/>
  <c r="AJ37" i="1"/>
  <c r="AJ39" i="1" s="1"/>
  <c r="AD37" i="1"/>
  <c r="AD39" i="1" s="1"/>
  <c r="AE37" i="1"/>
  <c r="AE39" i="1" s="1"/>
  <c r="AF37" i="1"/>
  <c r="AF39" i="1" s="1"/>
  <c r="AG37" i="1"/>
  <c r="AG39" i="1" s="1"/>
  <c r="D37" i="1"/>
  <c r="D39" i="1" s="1"/>
  <c r="E37" i="1"/>
  <c r="E39" i="1" s="1"/>
  <c r="F37" i="1"/>
  <c r="F39" i="1" s="1"/>
  <c r="G37" i="1"/>
  <c r="G39" i="1" s="1"/>
  <c r="H37" i="1"/>
  <c r="H39" i="1" s="1"/>
  <c r="I37" i="1"/>
  <c r="I39" i="1" s="1"/>
  <c r="J37" i="1"/>
  <c r="J39" i="1" s="1"/>
  <c r="K37" i="1"/>
  <c r="K39" i="1" s="1"/>
  <c r="L37" i="1"/>
  <c r="L39" i="1" s="1"/>
  <c r="M37" i="1"/>
  <c r="M39" i="1" s="1"/>
  <c r="N37" i="1"/>
  <c r="N39" i="1" s="1"/>
  <c r="O37" i="1"/>
  <c r="O39" i="1" s="1"/>
  <c r="P37" i="1"/>
  <c r="P39" i="1" s="1"/>
  <c r="Q37" i="1"/>
  <c r="Q39" i="1" s="1"/>
  <c r="R37" i="1"/>
  <c r="R39" i="1" s="1"/>
  <c r="S37" i="1"/>
  <c r="S39" i="1" s="1"/>
  <c r="T37" i="1"/>
  <c r="T39" i="1" s="1"/>
  <c r="U37" i="1"/>
  <c r="U39" i="1" s="1"/>
  <c r="V37" i="1"/>
  <c r="V39" i="1" s="1"/>
  <c r="W37" i="1"/>
  <c r="W39" i="1" s="1"/>
  <c r="X37" i="1"/>
  <c r="X39" i="1" s="1"/>
  <c r="Y37" i="1"/>
  <c r="Y39" i="1" s="1"/>
  <c r="Z37" i="1"/>
  <c r="Z39" i="1" s="1"/>
  <c r="AA37" i="1"/>
  <c r="AA39" i="1" s="1"/>
  <c r="AB37" i="1"/>
  <c r="AB39" i="1" s="1"/>
  <c r="AC37" i="1"/>
  <c r="AC39" i="1" s="1"/>
  <c r="C37" i="1"/>
  <c r="C39" i="1"/>
</calcChain>
</file>

<file path=xl/sharedStrings.xml><?xml version="1.0" encoding="utf-8"?>
<sst xmlns="http://schemas.openxmlformats.org/spreadsheetml/2006/main" count="210" uniqueCount="82">
  <si>
    <t>م</t>
  </si>
  <si>
    <t>المفردة 1</t>
  </si>
  <si>
    <t>المفردة 2</t>
  </si>
  <si>
    <t>المفردة 3- أ</t>
  </si>
  <si>
    <t>المفردة 3- ب</t>
  </si>
  <si>
    <t>المفردة 4</t>
  </si>
  <si>
    <t>المفردة 5 - ب</t>
  </si>
  <si>
    <t>المفردة 5 - أ</t>
  </si>
  <si>
    <t>المفردة 5 - ج</t>
  </si>
  <si>
    <t>المفردة 6</t>
  </si>
  <si>
    <t>المفردة 7</t>
  </si>
  <si>
    <t xml:space="preserve">المفردة 8 </t>
  </si>
  <si>
    <t>المفردة 9</t>
  </si>
  <si>
    <t>المفردة 10</t>
  </si>
  <si>
    <t>المفردة 11</t>
  </si>
  <si>
    <t>المفردة 12</t>
  </si>
  <si>
    <t>المفردة 13</t>
  </si>
  <si>
    <t>المفردة 14</t>
  </si>
  <si>
    <t>المفردة 15</t>
  </si>
  <si>
    <t>المفردة 16</t>
  </si>
  <si>
    <t>المفردة 17</t>
  </si>
  <si>
    <t>المفردة 18</t>
  </si>
  <si>
    <t>المفردة 19</t>
  </si>
  <si>
    <t>المفردة 20</t>
  </si>
  <si>
    <t>المفردة 21</t>
  </si>
  <si>
    <t>المفردة 22</t>
  </si>
  <si>
    <t>المفردة 23</t>
  </si>
  <si>
    <t>المفردة 24 - أ</t>
  </si>
  <si>
    <t>المفردة 24 - ب</t>
  </si>
  <si>
    <t>المفردة 25</t>
  </si>
  <si>
    <t>المفردة 26 - أ</t>
  </si>
  <si>
    <t>المفردة 26 - ب</t>
  </si>
  <si>
    <t>المفردة 27</t>
  </si>
  <si>
    <t>المفردة 28</t>
  </si>
  <si>
    <t>المفردة 29</t>
  </si>
  <si>
    <t>اســــــــم الطــــــــالب</t>
  </si>
  <si>
    <t>المتوسط</t>
  </si>
  <si>
    <t>درجة المفردة</t>
  </si>
  <si>
    <t>النسبة</t>
  </si>
  <si>
    <t>هدف التقويم</t>
  </si>
  <si>
    <t>تعليمية ظفار - إشراف الأحياء</t>
  </si>
  <si>
    <t>تحليل المفردات الامتحانية لمادة الأحياء للصف الحادي عشر الفصل الدراسي الأول 2025 - 2026</t>
  </si>
  <si>
    <t>AO1</t>
  </si>
  <si>
    <t>AO2</t>
  </si>
  <si>
    <t>الوحدة الدراسية</t>
  </si>
  <si>
    <t>الأولى</t>
  </si>
  <si>
    <t>الثانية</t>
  </si>
  <si>
    <t>الثالثة</t>
  </si>
  <si>
    <t>الرابعة</t>
  </si>
  <si>
    <t>نوع المفردة</t>
  </si>
  <si>
    <t>فعل الأمر (المفردات المقالية)</t>
  </si>
  <si>
    <t>اختيار من متعدد</t>
  </si>
  <si>
    <t>إجابة قصيرة</t>
  </si>
  <si>
    <t>اذكر</t>
  </si>
  <si>
    <t>احسب</t>
  </si>
  <si>
    <t>سم</t>
  </si>
  <si>
    <t>إجابة طويلة</t>
  </si>
  <si>
    <t>صف</t>
  </si>
  <si>
    <t>اشرح</t>
  </si>
  <si>
    <t>حدد</t>
  </si>
  <si>
    <t>عرف</t>
  </si>
  <si>
    <t>ارسم</t>
  </si>
  <si>
    <t>فسر</t>
  </si>
  <si>
    <t>المعرفة والتذكر</t>
  </si>
  <si>
    <t>التحليل</t>
  </si>
  <si>
    <t>التطبيق (مهارة رياضية)</t>
  </si>
  <si>
    <t>المعرفة</t>
  </si>
  <si>
    <t>الفهم والتحليل</t>
  </si>
  <si>
    <t>التحليل والاستنتاج</t>
  </si>
  <si>
    <t>الفهم والوصف</t>
  </si>
  <si>
    <t>الوصف</t>
  </si>
  <si>
    <t>التطبيق (الرسم العلمي)</t>
  </si>
  <si>
    <t>الفهم</t>
  </si>
  <si>
    <t>الفهم والشرح</t>
  </si>
  <si>
    <t>التحليل والتفسير</t>
  </si>
  <si>
    <t>التحليل والمقارنة</t>
  </si>
  <si>
    <t>التطبيق والتحليل</t>
  </si>
  <si>
    <t>المهارة المتضمنة*</t>
  </si>
  <si>
    <t>* المهارات المذكورة للاستعانة وليست للحصر</t>
  </si>
  <si>
    <t>سعيد احمد محمد المشيخي</t>
  </si>
  <si>
    <t>هيثم خالد محمد العمري</t>
  </si>
  <si>
    <t>سالم محمد سالم العمري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</si>
</sst>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shrinkToFit="1"/>
    </xf>
    <xf numFmtId="0" fontId="0" fillId="2" borderId="1" xfId="0" applyFill="1" applyBorder="1" applyAlignment="1">
      <alignment shrinkToFit="1"/>
    </xf>
    <xf numFmtId="0" fontId="0" fillId="3" borderId="1" xfId="0" applyFill="1" applyBorder="1" applyAlignment="1">
      <alignment shrinkToFit="1"/>
    </xf>
    <xf numFmtId="0" fontId="0" fillId="4" borderId="1" xfId="0" applyFill="1" applyBorder="1" applyAlignment="1">
      <alignment shrinkToFit="1"/>
    </xf>
    <xf numFmtId="0" fontId="0" fillId="0" borderId="1" xfId="0" applyBorder="1" applyAlignment="1">
      <alignment horizontal="center" shrinkToFit="1"/>
    </xf>
    <xf numFmtId="0" fontId="0" fillId="0" borderId="1" xfId="0" applyFill="1" applyBorder="1" applyAlignment="1">
      <alignment shrinkToFit="1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shrinkToFit="1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6"/>
  <sheetViews>
    <sheetView rightToLeft="1" tabSelected="1" topLeftCell="U19" workbookViewId="0">
      <selection activeCell="W5" sqref="W5"/>
    </sheetView>
  </sheetViews>
  <sheetFormatPr defaultRowHeight="14.25"/>
  <cols>
    <col min="1" max="1" width="2.875" bestFit="1" customWidth="1"/>
    <col min="2" max="2" width="19.25" customWidth="1"/>
    <col min="3" max="3" width="10" bestFit="1" customWidth="1"/>
    <col min="4" max="4" width="9.875" bestFit="1" customWidth="1"/>
    <col min="5" max="5" width="10" bestFit="1" customWidth="1"/>
    <col min="6" max="7" width="14.75" bestFit="1" customWidth="1"/>
    <col min="8" max="8" width="8.25" bestFit="1" customWidth="1"/>
    <col min="9" max="9" width="11" bestFit="1" customWidth="1"/>
    <col min="10" max="10" width="8.875" bestFit="1" customWidth="1"/>
    <col min="11" max="11" width="10" bestFit="1" customWidth="1"/>
    <col min="12" max="12" width="9.875" bestFit="1" customWidth="1"/>
    <col min="13" max="14" width="8.125" bestFit="1" customWidth="1"/>
    <col min="15" max="15" width="11.125" bestFit="1" customWidth="1"/>
    <col min="18" max="18" width="8.75" customWidth="1"/>
    <col min="19" max="19" width="10" customWidth="1"/>
    <col min="20" max="20" width="14.25" bestFit="1" customWidth="1"/>
    <col min="22" max="22" width="8.75" customWidth="1"/>
    <col min="23" max="23" width="10" bestFit="1" customWidth="1"/>
    <col min="26" max="26" width="10" bestFit="1" customWidth="1"/>
    <col min="27" max="27" width="10.5" bestFit="1" customWidth="1"/>
    <col min="28" max="28" width="8.75" customWidth="1"/>
    <col min="29" max="29" width="9.25" customWidth="1"/>
    <col min="30" max="30" width="10" bestFit="1" customWidth="1"/>
    <col min="31" max="31" width="8.75" customWidth="1"/>
    <col min="32" max="32" width="9.25" customWidth="1"/>
    <col min="33" max="33" width="10" bestFit="1" customWidth="1"/>
  </cols>
  <sheetData>
    <row r="1" spans="1:36">
      <c r="B1" s="10" t="s">
        <v>40</v>
      </c>
      <c r="C1" s="10"/>
      <c r="D1" s="10"/>
      <c r="E1" s="10"/>
      <c r="F1" s="10"/>
      <c r="G1" s="10"/>
      <c r="H1" s="10"/>
    </row>
    <row r="2" spans="1:36">
      <c r="B2" s="10" t="s">
        <v>41</v>
      </c>
      <c r="C2" s="10"/>
      <c r="D2" s="10"/>
      <c r="E2" s="10"/>
      <c r="F2" s="10"/>
      <c r="G2" s="10"/>
      <c r="H2" s="10"/>
    </row>
    <row r="4" spans="1:36">
      <c r="A4" s="2" t="s">
        <v>0</v>
      </c>
      <c r="B4" s="2" t="s">
        <v>35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7</v>
      </c>
      <c r="I4" s="2" t="s">
        <v>6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</row>
    <row r="5" spans="1:36">
      <c r="A5" s="1">
        <v>1</v>
      </c>
      <c r="B5" s="1" t="s">
        <v>79</v>
      </c>
      <c r="C5" s="1">
        <v>1</v>
      </c>
      <c r="D5" s="1">
        <v>3</v>
      </c>
      <c r="E5" s="1">
        <v>1</v>
      </c>
      <c r="F5" s="1">
        <v>2</v>
      </c>
      <c r="G5" s="1">
        <v>1</v>
      </c>
      <c r="H5" s="1">
        <v>2</v>
      </c>
      <c r="I5" s="1">
        <v>4</v>
      </c>
      <c r="J5" s="1">
        <v>2</v>
      </c>
      <c r="K5" s="1">
        <v>1</v>
      </c>
      <c r="L5" s="1">
        <v>2</v>
      </c>
      <c r="M5" s="1">
        <v>2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4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3</v>
      </c>
      <c r="AC5" s="1">
        <v>2</v>
      </c>
      <c r="AD5" s="1">
        <v>1</v>
      </c>
      <c r="AE5" s="1">
        <v>1</v>
      </c>
      <c r="AF5" s="1">
        <v>2</v>
      </c>
      <c r="AG5" s="1">
        <v>2</v>
      </c>
      <c r="AH5" s="1">
        <v>2</v>
      </c>
      <c r="AI5" s="1">
        <v>1</v>
      </c>
      <c r="AJ5" s="1">
        <v>2</v>
      </c>
    </row>
    <row r="6" spans="1:36">
      <c r="A6" s="1">
        <v>2</v>
      </c>
      <c r="B6" s="1" t="s">
        <v>80</v>
      </c>
      <c r="C6" s="1">
        <v>1</v>
      </c>
      <c r="D6" s="1">
        <v>2</v>
      </c>
      <c r="E6" s="1">
        <v>1</v>
      </c>
      <c r="F6" s="1">
        <v>1</v>
      </c>
      <c r="G6" s="1">
        <v>1</v>
      </c>
      <c r="H6" s="1">
        <v>2</v>
      </c>
      <c r="I6" s="1">
        <v>1</v>
      </c>
      <c r="J6" s="1">
        <v>1</v>
      </c>
      <c r="K6" s="1">
        <v>1</v>
      </c>
      <c r="L6" s="1">
        <v>1</v>
      </c>
      <c r="M6" s="1">
        <v>2</v>
      </c>
      <c r="N6" s="1">
        <v>0</v>
      </c>
      <c r="O6" s="1">
        <v>1</v>
      </c>
      <c r="P6" s="1">
        <v>1</v>
      </c>
      <c r="Q6" s="1">
        <v>2</v>
      </c>
      <c r="R6" s="1">
        <v>1</v>
      </c>
      <c r="S6" s="1">
        <v>1</v>
      </c>
      <c r="T6" s="1">
        <v>2</v>
      </c>
      <c r="U6" s="1">
        <v>0</v>
      </c>
      <c r="V6" s="1">
        <v>0</v>
      </c>
      <c r="W6" s="1">
        <v>1</v>
      </c>
      <c r="X6" s="1">
        <v>2</v>
      </c>
      <c r="Y6" s="1">
        <v>1</v>
      </c>
      <c r="Z6" s="1">
        <v>0</v>
      </c>
      <c r="AA6" s="1">
        <v>1</v>
      </c>
      <c r="AB6" s="1">
        <v>2</v>
      </c>
      <c r="AC6" s="1">
        <v>2</v>
      </c>
      <c r="AD6" s="1">
        <v>1</v>
      </c>
      <c r="AE6" s="1">
        <v>1</v>
      </c>
      <c r="AF6" s="1">
        <v>2</v>
      </c>
      <c r="AG6" s="1">
        <v>0</v>
      </c>
      <c r="AH6" s="1">
        <v>0</v>
      </c>
      <c r="AI6" s="1">
        <v>1</v>
      </c>
      <c r="AJ6" s="1">
        <v>2</v>
      </c>
    </row>
    <row r="7" spans="1:36">
      <c r="A7" s="1">
        <v>3</v>
      </c>
      <c r="B7" s="1" t="s">
        <v>81</v>
      </c>
      <c r="C7" s="1">
        <v>1</v>
      </c>
      <c r="D7" s="1">
        <v>2</v>
      </c>
      <c r="E7" s="1">
        <v>1</v>
      </c>
      <c r="F7" s="1">
        <v>2</v>
      </c>
      <c r="G7" s="1">
        <v>1</v>
      </c>
      <c r="H7" s="1">
        <v>2</v>
      </c>
      <c r="I7" s="1">
        <v>2</v>
      </c>
      <c r="J7" s="1">
        <v>2</v>
      </c>
      <c r="K7" s="1">
        <v>1</v>
      </c>
      <c r="L7" s="1">
        <v>0</v>
      </c>
      <c r="M7" s="1">
        <v>2</v>
      </c>
      <c r="N7" s="1">
        <v>1</v>
      </c>
      <c r="O7" s="1">
        <v>1</v>
      </c>
      <c r="P7" s="1">
        <v>1</v>
      </c>
      <c r="Q7" s="1">
        <v>2</v>
      </c>
      <c r="R7" s="1">
        <v>1</v>
      </c>
      <c r="S7" s="1">
        <v>1</v>
      </c>
      <c r="T7" s="1">
        <v>2</v>
      </c>
      <c r="U7" s="1">
        <v>0</v>
      </c>
      <c r="V7" s="1">
        <v>1</v>
      </c>
      <c r="W7" s="1">
        <v>1</v>
      </c>
      <c r="X7" s="1">
        <v>2</v>
      </c>
      <c r="Y7" s="1">
        <v>1</v>
      </c>
      <c r="Z7" s="1">
        <v>1</v>
      </c>
      <c r="AA7" s="1">
        <v>1</v>
      </c>
      <c r="AB7" s="1">
        <v>3</v>
      </c>
      <c r="AC7" s="1">
        <v>2</v>
      </c>
      <c r="AD7" s="1">
        <v>1</v>
      </c>
      <c r="AE7" s="1">
        <v>1</v>
      </c>
      <c r="AF7" s="1">
        <v>2</v>
      </c>
      <c r="AG7" s="1">
        <v>2</v>
      </c>
      <c r="AH7" s="1">
        <v>1</v>
      </c>
      <c r="AI7" s="1">
        <v>1</v>
      </c>
      <c r="AJ7" s="1">
        <v>2</v>
      </c>
    </row>
    <row r="8" spans="1:36">
      <c r="A8" s="1">
        <v>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>
      <c r="A9" s="1">
        <v>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>
      <c r="A10" s="1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>
      <c r="A11" s="1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>
      <c r="A12" s="1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>
      <c r="A13" s="1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>
      <c r="A14" s="1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>
      <c r="A15" s="1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>
      <c r="A16" s="1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>
      <c r="A17" s="1">
        <v>13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>
      <c r="A18" s="1">
        <v>14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>
      <c r="A19" s="1">
        <v>15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>
      <c r="A20" s="1">
        <v>16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>
      <c r="A21" s="1">
        <v>17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>
      <c r="A22" s="1">
        <v>18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>
      <c r="A23" s="1">
        <v>19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>
      <c r="A24" s="1">
        <v>20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>
      <c r="A25" s="1">
        <v>21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>
      <c r="A26" s="1">
        <v>22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>
      <c r="A27" s="1">
        <v>23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>
      <c r="A28" s="1">
        <v>24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>
      <c r="A29" s="1">
        <v>25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>
      <c r="A30" s="1">
        <v>26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>
      <c r="A31" s="1">
        <v>27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>
      <c r="A32" s="1">
        <v>28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>
      <c r="A33" s="1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>
      <c r="A34" s="1">
        <v>30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>
      <c r="A35" s="1">
        <v>31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>
      <c r="A36" s="1">
        <v>32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>
      <c r="A37" s="1"/>
      <c r="B37" s="3" t="s">
        <v>36</v>
      </c>
      <c r="C37" s="3">
        <f>AVERAGE(C5:C36)</f>
        <v>1</v>
      </c>
      <c r="D37" s="3">
        <f t="shared" ref="D37:AC37" si="0">AVERAGE(D5:D36)</f>
        <v>2.3333333333333335</v>
      </c>
      <c r="E37" s="3">
        <f t="shared" si="0"/>
        <v>1</v>
      </c>
      <c r="F37" s="3">
        <f t="shared" si="0"/>
        <v>1.6666666666666667</v>
      </c>
      <c r="G37" s="3">
        <f t="shared" si="0"/>
        <v>1</v>
      </c>
      <c r="H37" s="3">
        <f t="shared" si="0"/>
        <v>2</v>
      </c>
      <c r="I37" s="3">
        <f t="shared" si="0"/>
        <v>2.3333333333333335</v>
      </c>
      <c r="J37" s="3">
        <f t="shared" si="0"/>
        <v>1.6666666666666667</v>
      </c>
      <c r="K37" s="3">
        <f t="shared" si="0"/>
        <v>1</v>
      </c>
      <c r="L37" s="3">
        <f t="shared" si="0"/>
        <v>1</v>
      </c>
      <c r="M37" s="3">
        <f t="shared" si="0"/>
        <v>2</v>
      </c>
      <c r="N37" s="3">
        <f t="shared" si="0"/>
        <v>0.66666666666666663</v>
      </c>
      <c r="O37" s="3">
        <f t="shared" si="0"/>
        <v>1</v>
      </c>
      <c r="P37" s="3">
        <f t="shared" si="0"/>
        <v>1</v>
      </c>
      <c r="Q37" s="3">
        <f t="shared" si="0"/>
        <v>1.6666666666666667</v>
      </c>
      <c r="R37" s="3">
        <f t="shared" si="0"/>
        <v>1</v>
      </c>
      <c r="S37" s="3">
        <f t="shared" si="0"/>
        <v>1</v>
      </c>
      <c r="T37" s="3">
        <f t="shared" si="0"/>
        <v>1.6666666666666667</v>
      </c>
      <c r="U37" s="3">
        <f t="shared" si="0"/>
        <v>0.33333333333333331</v>
      </c>
      <c r="V37" s="3">
        <f t="shared" si="0"/>
        <v>1.6666666666666667</v>
      </c>
      <c r="W37" s="3">
        <f t="shared" si="0"/>
        <v>1</v>
      </c>
      <c r="X37" s="3">
        <f t="shared" si="0"/>
        <v>1.6666666666666667</v>
      </c>
      <c r="Y37" s="3">
        <f t="shared" si="0"/>
        <v>1</v>
      </c>
      <c r="Z37" s="3">
        <f t="shared" si="0"/>
        <v>0.66666666666666663</v>
      </c>
      <c r="AA37" s="3">
        <f t="shared" si="0"/>
        <v>1</v>
      </c>
      <c r="AB37" s="3">
        <f t="shared" si="0"/>
        <v>2.6666666666666665</v>
      </c>
      <c r="AC37" s="3">
        <f t="shared" si="0"/>
        <v>2</v>
      </c>
      <c r="AD37" s="3">
        <f>AVERAGE(AD5:AD36)</f>
        <v>1</v>
      </c>
      <c r="AE37" s="3">
        <f t="shared" ref="AE37" si="1">AVERAGE(AE5:AE36)</f>
        <v>1</v>
      </c>
      <c r="AF37" s="3">
        <f t="shared" ref="AF37" si="2">AVERAGE(AF5:AF36)</f>
        <v>2</v>
      </c>
      <c r="AG37" s="3">
        <f t="shared" ref="AG37" si="3">AVERAGE(AG5:AG36)</f>
        <v>1.3333333333333333</v>
      </c>
      <c r="AH37" s="3">
        <f>AVERAGE(AH5:AH36)</f>
        <v>1</v>
      </c>
      <c r="AI37" s="3">
        <f t="shared" ref="AI37" si="4">AVERAGE(AI5:AI36)</f>
        <v>1</v>
      </c>
      <c r="AJ37" s="3">
        <f t="shared" ref="AJ37" si="5">AVERAGE(AJ5:AJ36)</f>
        <v>2</v>
      </c>
    </row>
    <row r="38" spans="1:36">
      <c r="A38" s="1"/>
      <c r="B38" s="1" t="s">
        <v>37</v>
      </c>
      <c r="C38" s="1">
        <v>1</v>
      </c>
      <c r="D38" s="1">
        <v>3</v>
      </c>
      <c r="E38" s="1">
        <v>1</v>
      </c>
      <c r="F38" s="1">
        <v>2</v>
      </c>
      <c r="G38" s="1">
        <v>1</v>
      </c>
      <c r="H38" s="1">
        <v>2</v>
      </c>
      <c r="I38" s="1">
        <v>4</v>
      </c>
      <c r="J38" s="1">
        <v>2</v>
      </c>
      <c r="K38" s="1">
        <v>1</v>
      </c>
      <c r="L38" s="1">
        <v>2</v>
      </c>
      <c r="M38" s="1">
        <v>2</v>
      </c>
      <c r="N38" s="1">
        <v>1</v>
      </c>
      <c r="O38" s="1">
        <v>1</v>
      </c>
      <c r="P38" s="1">
        <v>1</v>
      </c>
      <c r="Q38" s="1">
        <v>3</v>
      </c>
      <c r="R38" s="1">
        <v>2</v>
      </c>
      <c r="S38" s="1">
        <v>1</v>
      </c>
      <c r="T38" s="1">
        <v>2</v>
      </c>
      <c r="U38" s="1">
        <v>2</v>
      </c>
      <c r="V38" s="1">
        <v>4</v>
      </c>
      <c r="W38" s="1">
        <v>1</v>
      </c>
      <c r="X38" s="1">
        <v>2</v>
      </c>
      <c r="Y38" s="1">
        <v>1</v>
      </c>
      <c r="Z38" s="1">
        <v>1</v>
      </c>
      <c r="AA38" s="1">
        <v>1</v>
      </c>
      <c r="AB38" s="1">
        <v>3</v>
      </c>
      <c r="AC38" s="1">
        <v>2</v>
      </c>
      <c r="AD38" s="1">
        <v>1</v>
      </c>
      <c r="AE38" s="1">
        <v>1</v>
      </c>
      <c r="AF38" s="1">
        <v>2</v>
      </c>
      <c r="AG38" s="1">
        <v>2</v>
      </c>
      <c r="AH38" s="1">
        <v>2</v>
      </c>
      <c r="AI38" s="1">
        <v>1</v>
      </c>
      <c r="AJ38" s="1">
        <v>2</v>
      </c>
    </row>
    <row r="39" spans="1:36">
      <c r="A39" s="1"/>
      <c r="B39" s="4" t="s">
        <v>38</v>
      </c>
      <c r="C39" s="4">
        <f>(C37/C38)*100</f>
        <v>100</v>
      </c>
      <c r="D39" s="4">
        <f t="shared" ref="D39:AJ39" si="6">(D37/D38)*100</f>
        <v>77.777777777777786</v>
      </c>
      <c r="E39" s="4">
        <f t="shared" si="6"/>
        <v>100</v>
      </c>
      <c r="F39" s="4">
        <f t="shared" si="6"/>
        <v>83.333333333333343</v>
      </c>
      <c r="G39" s="4">
        <f t="shared" si="6"/>
        <v>100</v>
      </c>
      <c r="H39" s="4">
        <f t="shared" si="6"/>
        <v>100</v>
      </c>
      <c r="I39" s="4">
        <f t="shared" si="6"/>
        <v>58.333333333333336</v>
      </c>
      <c r="J39" s="4">
        <f t="shared" si="6"/>
        <v>83.333333333333343</v>
      </c>
      <c r="K39" s="4">
        <f t="shared" si="6"/>
        <v>100</v>
      </c>
      <c r="L39" s="4">
        <f t="shared" si="6"/>
        <v>50</v>
      </c>
      <c r="M39" s="4">
        <f t="shared" si="6"/>
        <v>100</v>
      </c>
      <c r="N39" s="4">
        <f t="shared" si="6"/>
        <v>66.666666666666657</v>
      </c>
      <c r="O39" s="4">
        <f t="shared" si="6"/>
        <v>100</v>
      </c>
      <c r="P39" s="4">
        <f t="shared" si="6"/>
        <v>100</v>
      </c>
      <c r="Q39" s="4">
        <f t="shared" si="6"/>
        <v>55.555555555555557</v>
      </c>
      <c r="R39" s="4">
        <f t="shared" si="6"/>
        <v>50</v>
      </c>
      <c r="S39" s="4">
        <f t="shared" si="6"/>
        <v>100</v>
      </c>
      <c r="T39" s="4">
        <f t="shared" si="6"/>
        <v>83.333333333333343</v>
      </c>
      <c r="U39" s="4">
        <f t="shared" si="6"/>
        <v>16.666666666666664</v>
      </c>
      <c r="V39" s="4">
        <f t="shared" si="6"/>
        <v>41.666666666666671</v>
      </c>
      <c r="W39" s="4">
        <f t="shared" si="6"/>
        <v>100</v>
      </c>
      <c r="X39" s="4">
        <f t="shared" si="6"/>
        <v>83.333333333333343</v>
      </c>
      <c r="Y39" s="4">
        <f t="shared" si="6"/>
        <v>100</v>
      </c>
      <c r="Z39" s="4">
        <f t="shared" si="6"/>
        <v>66.666666666666657</v>
      </c>
      <c r="AA39" s="4">
        <f t="shared" si="6"/>
        <v>100</v>
      </c>
      <c r="AB39" s="4">
        <f t="shared" si="6"/>
        <v>88.888888888888886</v>
      </c>
      <c r="AC39" s="4">
        <f t="shared" si="6"/>
        <v>100</v>
      </c>
      <c r="AD39" s="4">
        <f t="shared" si="6"/>
        <v>100</v>
      </c>
      <c r="AE39" s="4">
        <f t="shared" si="6"/>
        <v>100</v>
      </c>
      <c r="AF39" s="4">
        <f t="shared" si="6"/>
        <v>100</v>
      </c>
      <c r="AG39" s="4">
        <f t="shared" si="6"/>
        <v>66.666666666666657</v>
      </c>
      <c r="AH39" s="4">
        <f t="shared" si="6"/>
        <v>50</v>
      </c>
      <c r="AI39" s="4">
        <f t="shared" si="6"/>
        <v>100</v>
      </c>
      <c r="AJ39" s="4">
        <f t="shared" si="6"/>
        <v>100</v>
      </c>
    </row>
    <row r="40" spans="1:36">
      <c r="A40" s="1"/>
      <c r="B40" s="1" t="s">
        <v>39</v>
      </c>
      <c r="C40" s="5" t="s">
        <v>42</v>
      </c>
      <c r="D40" s="5" t="s">
        <v>42</v>
      </c>
      <c r="E40" s="5" t="s">
        <v>43</v>
      </c>
      <c r="F40" s="5" t="s">
        <v>43</v>
      </c>
      <c r="G40" s="5" t="s">
        <v>43</v>
      </c>
      <c r="H40" s="5" t="s">
        <v>42</v>
      </c>
      <c r="I40" s="5" t="s">
        <v>43</v>
      </c>
      <c r="J40" s="5" t="s">
        <v>43</v>
      </c>
      <c r="K40" s="5" t="s">
        <v>42</v>
      </c>
      <c r="L40" s="5" t="s">
        <v>42</v>
      </c>
      <c r="M40" s="5" t="s">
        <v>43</v>
      </c>
      <c r="N40" s="5" t="s">
        <v>42</v>
      </c>
      <c r="O40" s="5" t="s">
        <v>43</v>
      </c>
      <c r="P40" s="5" t="s">
        <v>42</v>
      </c>
      <c r="Q40" s="5" t="s">
        <v>43</v>
      </c>
      <c r="R40" s="5" t="s">
        <v>42</v>
      </c>
      <c r="S40" s="5" t="s">
        <v>43</v>
      </c>
      <c r="T40" s="5" t="s">
        <v>43</v>
      </c>
      <c r="U40" s="5" t="s">
        <v>43</v>
      </c>
      <c r="V40" s="5" t="s">
        <v>43</v>
      </c>
      <c r="W40" s="5" t="s">
        <v>42</v>
      </c>
      <c r="X40" s="5" t="s">
        <v>42</v>
      </c>
      <c r="Y40" s="5" t="s">
        <v>42</v>
      </c>
      <c r="Z40" s="5" t="s">
        <v>43</v>
      </c>
      <c r="AA40" s="5" t="s">
        <v>43</v>
      </c>
      <c r="AB40" s="5" t="s">
        <v>43</v>
      </c>
      <c r="AC40" s="5" t="s">
        <v>43</v>
      </c>
      <c r="AD40" s="5" t="s">
        <v>43</v>
      </c>
      <c r="AE40" s="5" t="s">
        <v>43</v>
      </c>
      <c r="AF40" s="5" t="s">
        <v>43</v>
      </c>
      <c r="AG40" s="5" t="s">
        <v>43</v>
      </c>
      <c r="AH40" s="5" t="s">
        <v>42</v>
      </c>
      <c r="AI40" s="5" t="s">
        <v>42</v>
      </c>
      <c r="AJ40" s="5" t="s">
        <v>43</v>
      </c>
    </row>
    <row r="41" spans="1:36">
      <c r="B41" s="8" t="s">
        <v>44</v>
      </c>
      <c r="C41" s="9" t="s">
        <v>45</v>
      </c>
      <c r="D41" s="9" t="s">
        <v>45</v>
      </c>
      <c r="E41" s="9" t="s">
        <v>45</v>
      </c>
      <c r="F41" s="9" t="s">
        <v>45</v>
      </c>
      <c r="G41" s="9" t="s">
        <v>45</v>
      </c>
      <c r="H41" s="9" t="s">
        <v>45</v>
      </c>
      <c r="I41" s="9" t="s">
        <v>45</v>
      </c>
      <c r="J41" s="9" t="s">
        <v>45</v>
      </c>
      <c r="K41" s="9" t="s">
        <v>46</v>
      </c>
      <c r="L41" s="9" t="s">
        <v>46</v>
      </c>
      <c r="M41" s="9" t="s">
        <v>46</v>
      </c>
      <c r="N41" s="9" t="s">
        <v>46</v>
      </c>
      <c r="O41" s="9" t="s">
        <v>46</v>
      </c>
      <c r="P41" s="9" t="s">
        <v>46</v>
      </c>
      <c r="Q41" s="9" t="s">
        <v>46</v>
      </c>
      <c r="R41" s="9" t="s">
        <v>46</v>
      </c>
      <c r="S41" s="9" t="s">
        <v>46</v>
      </c>
      <c r="T41" s="9" t="s">
        <v>46</v>
      </c>
      <c r="U41" s="9" t="s">
        <v>46</v>
      </c>
      <c r="V41" s="9" t="s">
        <v>46</v>
      </c>
      <c r="W41" s="9" t="s">
        <v>47</v>
      </c>
      <c r="X41" s="9" t="s">
        <v>47</v>
      </c>
      <c r="Y41" s="9" t="s">
        <v>47</v>
      </c>
      <c r="Z41" s="9" t="s">
        <v>47</v>
      </c>
      <c r="AA41" s="9" t="s">
        <v>47</v>
      </c>
      <c r="AB41" s="9" t="s">
        <v>47</v>
      </c>
      <c r="AC41" s="9" t="s">
        <v>47</v>
      </c>
      <c r="AD41" s="9" t="s">
        <v>47</v>
      </c>
      <c r="AE41" s="9" t="s">
        <v>48</v>
      </c>
      <c r="AF41" s="9" t="s">
        <v>48</v>
      </c>
      <c r="AG41" s="9" t="s">
        <v>48</v>
      </c>
      <c r="AH41" s="9" t="s">
        <v>48</v>
      </c>
      <c r="AI41" s="9" t="s">
        <v>48</v>
      </c>
      <c r="AJ41" s="9" t="s">
        <v>48</v>
      </c>
    </row>
    <row r="42" spans="1:36">
      <c r="B42" s="6" t="s">
        <v>49</v>
      </c>
      <c r="C42" s="7" t="s">
        <v>51</v>
      </c>
      <c r="D42" s="7" t="s">
        <v>52</v>
      </c>
      <c r="E42" s="7" t="s">
        <v>51</v>
      </c>
      <c r="F42" s="7" t="s">
        <v>52</v>
      </c>
      <c r="G42" s="7" t="s">
        <v>51</v>
      </c>
      <c r="H42" s="7" t="s">
        <v>52</v>
      </c>
      <c r="I42" s="7" t="s">
        <v>56</v>
      </c>
      <c r="J42" s="7" t="s">
        <v>52</v>
      </c>
      <c r="K42" s="7" t="s">
        <v>51</v>
      </c>
      <c r="L42" s="7" t="s">
        <v>52</v>
      </c>
      <c r="M42" s="7" t="s">
        <v>52</v>
      </c>
      <c r="N42" s="7" t="s">
        <v>52</v>
      </c>
      <c r="O42" s="7" t="s">
        <v>51</v>
      </c>
      <c r="P42" s="7" t="s">
        <v>52</v>
      </c>
      <c r="Q42" s="7" t="s">
        <v>52</v>
      </c>
      <c r="R42" s="7" t="s">
        <v>52</v>
      </c>
      <c r="S42" s="7" t="s">
        <v>51</v>
      </c>
      <c r="T42" s="7" t="s">
        <v>52</v>
      </c>
      <c r="U42" s="7" t="s">
        <v>52</v>
      </c>
      <c r="V42" s="7" t="s">
        <v>56</v>
      </c>
      <c r="W42" s="7" t="s">
        <v>51</v>
      </c>
      <c r="X42" s="7" t="s">
        <v>52</v>
      </c>
      <c r="Y42" s="7" t="s">
        <v>52</v>
      </c>
      <c r="Z42" s="7" t="s">
        <v>52</v>
      </c>
      <c r="AA42" s="7" t="s">
        <v>52</v>
      </c>
      <c r="AB42" s="7" t="s">
        <v>52</v>
      </c>
      <c r="AC42" s="7" t="s">
        <v>52</v>
      </c>
      <c r="AD42" s="7" t="s">
        <v>51</v>
      </c>
      <c r="AE42" s="7" t="s">
        <v>51</v>
      </c>
      <c r="AF42" s="7" t="s">
        <v>52</v>
      </c>
      <c r="AG42" s="7" t="s">
        <v>52</v>
      </c>
      <c r="AH42" s="7" t="s">
        <v>52</v>
      </c>
      <c r="AI42" s="7" t="s">
        <v>51</v>
      </c>
      <c r="AJ42" s="7" t="s">
        <v>52</v>
      </c>
    </row>
    <row r="43" spans="1:36">
      <c r="B43" s="8" t="s">
        <v>50</v>
      </c>
      <c r="C43" s="9"/>
      <c r="D43" s="9" t="s">
        <v>53</v>
      </c>
      <c r="E43" s="9"/>
      <c r="F43" s="9" t="s">
        <v>54</v>
      </c>
      <c r="G43" s="9"/>
      <c r="H43" s="9" t="s">
        <v>55</v>
      </c>
      <c r="I43" s="9" t="s">
        <v>57</v>
      </c>
      <c r="J43" s="9" t="s">
        <v>58</v>
      </c>
      <c r="K43" s="9"/>
      <c r="L43" s="9" t="s">
        <v>53</v>
      </c>
      <c r="M43" s="9" t="s">
        <v>59</v>
      </c>
      <c r="N43" s="9" t="s">
        <v>60</v>
      </c>
      <c r="O43" s="9"/>
      <c r="P43" s="9" t="s">
        <v>59</v>
      </c>
      <c r="Q43" s="9" t="s">
        <v>57</v>
      </c>
      <c r="R43" s="9" t="s">
        <v>57</v>
      </c>
      <c r="S43" s="9"/>
      <c r="T43" s="9" t="s">
        <v>61</v>
      </c>
      <c r="U43" s="9" t="s">
        <v>55</v>
      </c>
      <c r="V43" s="9" t="s">
        <v>58</v>
      </c>
      <c r="W43" s="9"/>
      <c r="X43" s="9" t="s">
        <v>53</v>
      </c>
      <c r="Y43" s="9" t="s">
        <v>53</v>
      </c>
      <c r="Z43" s="9" t="s">
        <v>62</v>
      </c>
      <c r="AA43" s="9" t="s">
        <v>62</v>
      </c>
      <c r="AB43" s="9" t="s">
        <v>58</v>
      </c>
      <c r="AC43" s="9" t="s">
        <v>59</v>
      </c>
      <c r="AD43" s="9"/>
      <c r="AE43" s="9"/>
      <c r="AF43" s="9" t="s">
        <v>55</v>
      </c>
      <c r="AG43" s="9" t="s">
        <v>57</v>
      </c>
      <c r="AH43" s="9" t="s">
        <v>53</v>
      </c>
      <c r="AI43" s="9"/>
      <c r="AJ43" s="9" t="s">
        <v>59</v>
      </c>
    </row>
    <row r="44" spans="1:36">
      <c r="B44" s="6" t="s">
        <v>77</v>
      </c>
      <c r="C44" s="7" t="s">
        <v>63</v>
      </c>
      <c r="D44" s="7" t="s">
        <v>63</v>
      </c>
      <c r="E44" s="7" t="s">
        <v>64</v>
      </c>
      <c r="F44" s="7" t="s">
        <v>65</v>
      </c>
      <c r="G44" s="7" t="s">
        <v>65</v>
      </c>
      <c r="H44" s="7" t="s">
        <v>66</v>
      </c>
      <c r="I44" s="7" t="s">
        <v>70</v>
      </c>
      <c r="J44" s="7" t="s">
        <v>67</v>
      </c>
      <c r="K44" s="7" t="s">
        <v>63</v>
      </c>
      <c r="L44" s="7" t="s">
        <v>63</v>
      </c>
      <c r="M44" s="7" t="s">
        <v>64</v>
      </c>
      <c r="N44" s="7" t="s">
        <v>66</v>
      </c>
      <c r="O44" s="7" t="s">
        <v>68</v>
      </c>
      <c r="P44" s="7" t="s">
        <v>66</v>
      </c>
      <c r="Q44" s="7" t="s">
        <v>69</v>
      </c>
      <c r="R44" s="7" t="s">
        <v>70</v>
      </c>
      <c r="S44" s="7" t="s">
        <v>64</v>
      </c>
      <c r="T44" s="7" t="s">
        <v>71</v>
      </c>
      <c r="U44" s="7" t="s">
        <v>67</v>
      </c>
      <c r="V44" s="7" t="s">
        <v>73</v>
      </c>
      <c r="W44" s="7" t="s">
        <v>63</v>
      </c>
      <c r="X44" s="7" t="s">
        <v>63</v>
      </c>
      <c r="Y44" s="7" t="s">
        <v>66</v>
      </c>
      <c r="Z44" s="7" t="s">
        <v>74</v>
      </c>
      <c r="AA44" s="7" t="s">
        <v>75</v>
      </c>
      <c r="AB44" s="7" t="s">
        <v>67</v>
      </c>
      <c r="AC44" s="7" t="s">
        <v>76</v>
      </c>
      <c r="AD44" s="7" t="s">
        <v>64</v>
      </c>
      <c r="AE44" s="7" t="s">
        <v>74</v>
      </c>
      <c r="AF44" s="7" t="s">
        <v>72</v>
      </c>
      <c r="AG44" s="7" t="s">
        <v>69</v>
      </c>
      <c r="AH44" s="7" t="s">
        <v>63</v>
      </c>
      <c r="AI44" s="7" t="s">
        <v>66</v>
      </c>
      <c r="AJ44" s="7" t="s">
        <v>74</v>
      </c>
    </row>
    <row r="46" spans="1:36">
      <c r="B46" s="10" t="s">
        <v>78</v>
      </c>
      <c r="C46" s="10"/>
    </row>
  </sheetData>
  <mergeCells count="3">
    <mergeCell ref="B2:H2"/>
    <mergeCell ref="B1:H1"/>
    <mergeCell ref="B46:C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ناصر الشحري</dc:creator>
  <cp:lastModifiedBy>HAIL C</cp:lastModifiedBy>
  <dcterms:created xsi:type="dcterms:W3CDTF">2025-12-29T06:14:33Z</dcterms:created>
  <dcterms:modified xsi:type="dcterms:W3CDTF">2026-01-31T10:14:15Z</dcterms:modified>
</cp:coreProperties>
</file>