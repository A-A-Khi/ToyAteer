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_R\Desktop\"/>
    </mc:Choice>
  </mc:AlternateContent>
  <xr:revisionPtr revIDLastSave="0" documentId="13_ncr:1_{0660249E-5C6D-4D7E-B2FC-A519191BC43D}" xr6:coauthVersionLast="47" xr6:coauthVersionMax="47" xr10:uidLastSave="{00000000-0000-0000-0000-000000000000}"/>
  <bookViews>
    <workbookView xWindow="-108" yWindow="-108" windowWidth="23256" windowHeight="12576" tabRatio="803" firstSheet="1" activeTab="2" xr2:uid="{7A24C496-BDA1-4F88-B902-24402E461248}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7" i="34"/>
  <c r="G26" i="34"/>
  <c r="G27" i="34" s="1"/>
  <c r="K26" i="34"/>
  <c r="K27" i="34" s="1"/>
  <c r="AG26" i="34"/>
  <c r="AG27" i="34" s="1"/>
  <c r="AJ26" i="34"/>
  <c r="AJ27" i="34" s="1"/>
  <c r="C25" i="34"/>
  <c r="C26" i="34" s="1"/>
  <c r="E25" i="34"/>
  <c r="E26" i="34" s="1"/>
  <c r="E27" i="34" s="1"/>
  <c r="F25" i="34"/>
  <c r="F26" i="34" s="1"/>
  <c r="F27" i="34" s="1"/>
  <c r="G25" i="34"/>
  <c r="H25" i="34"/>
  <c r="H26" i="34" s="1"/>
  <c r="H27" i="34" s="1"/>
  <c r="I25" i="34"/>
  <c r="I26" i="34" s="1"/>
  <c r="I27" i="34" s="1"/>
  <c r="J25" i="34"/>
  <c r="J26" i="34" s="1"/>
  <c r="J27" i="34" s="1"/>
  <c r="K25" i="34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H25" i="34"/>
  <c r="AH26" i="34" s="1"/>
  <c r="AH27" i="34" s="1"/>
  <c r="AI25" i="34"/>
  <c r="AI26" i="34" s="1"/>
  <c r="AI27" i="34" s="1"/>
  <c r="AJ25" i="34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I26" i="38" s="1"/>
  <c r="I27" i="38" s="1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AM25" i="34" s="1"/>
  <c r="B53" i="33" a="1"/>
  <c r="B53" i="33" s="1"/>
  <c r="AG20" i="33"/>
  <c r="AG21" i="33" s="1"/>
  <c r="AG22" i="33" s="1"/>
  <c r="AF20" i="33"/>
  <c r="AF21" i="33" s="1"/>
  <c r="AF22" i="33" s="1"/>
  <c r="AE20" i="33"/>
  <c r="AE21" i="33" s="1"/>
  <c r="AE22" i="33" s="1"/>
  <c r="AD20" i="33"/>
  <c r="AD21" i="33" s="1"/>
  <c r="AD22" i="33" s="1"/>
  <c r="AC20" i="33"/>
  <c r="AC21" i="33" s="1"/>
  <c r="AC22" i="33" s="1"/>
  <c r="AB20" i="33"/>
  <c r="AB21" i="33" s="1"/>
  <c r="AB22" i="33" s="1"/>
  <c r="AA20" i="33"/>
  <c r="AA21" i="33" s="1"/>
  <c r="AA22" i="33" s="1"/>
  <c r="Z20" i="33"/>
  <c r="Z21" i="33" s="1"/>
  <c r="Z22" i="33" s="1"/>
  <c r="Y20" i="33"/>
  <c r="Y21" i="33" s="1"/>
  <c r="Y22" i="33" s="1"/>
  <c r="X20" i="33"/>
  <c r="X21" i="33" s="1"/>
  <c r="X22" i="33" s="1"/>
  <c r="W20" i="33"/>
  <c r="W21" i="33" s="1"/>
  <c r="W22" i="33" s="1"/>
  <c r="V20" i="33"/>
  <c r="V21" i="33" s="1"/>
  <c r="V22" i="33" s="1"/>
  <c r="U20" i="33"/>
  <c r="U21" i="33" s="1"/>
  <c r="U22" i="33" s="1"/>
  <c r="T20" i="33"/>
  <c r="T21" i="33" s="1"/>
  <c r="T22" i="33" s="1"/>
  <c r="S20" i="33"/>
  <c r="S21" i="33" s="1"/>
  <c r="S22" i="33" s="1"/>
  <c r="R20" i="33"/>
  <c r="R21" i="33" s="1"/>
  <c r="R22" i="33" s="1"/>
  <c r="Q20" i="33"/>
  <c r="Q21" i="33" s="1"/>
  <c r="Q22" i="33" s="1"/>
  <c r="P20" i="33"/>
  <c r="P21" i="33" s="1"/>
  <c r="P22" i="33" s="1"/>
  <c r="O20" i="33"/>
  <c r="O21" i="33" s="1"/>
  <c r="O22" i="33" s="1"/>
  <c r="N20" i="33"/>
  <c r="N21" i="33" s="1"/>
  <c r="N22" i="33" s="1"/>
  <c r="M20" i="33"/>
  <c r="M21" i="33" s="1"/>
  <c r="M22" i="33" s="1"/>
  <c r="L20" i="33"/>
  <c r="L21" i="33" s="1"/>
  <c r="L22" i="33" s="1"/>
  <c r="K20" i="33"/>
  <c r="K21" i="33" s="1"/>
  <c r="K22" i="33" s="1"/>
  <c r="J20" i="33"/>
  <c r="J21" i="33" s="1"/>
  <c r="J22" i="33" s="1"/>
  <c r="I20" i="33"/>
  <c r="I21" i="33" s="1"/>
  <c r="I22" i="33" s="1"/>
  <c r="H20" i="33"/>
  <c r="H21" i="33" s="1"/>
  <c r="H22" i="33" s="1"/>
  <c r="G20" i="33"/>
  <c r="G21" i="33" s="1"/>
  <c r="G22" i="33" s="1"/>
  <c r="F20" i="33"/>
  <c r="F21" i="33" s="1"/>
  <c r="F22" i="33" s="1"/>
  <c r="E20" i="33"/>
  <c r="E21" i="33" s="1"/>
  <c r="E22" i="33" s="1"/>
  <c r="D20" i="33"/>
  <c r="D21" i="33" s="1"/>
  <c r="D22" i="33" s="1"/>
  <c r="C20" i="33"/>
  <c r="C21" i="33" s="1"/>
  <c r="C22" i="33" s="1"/>
  <c r="AK19" i="33"/>
  <c r="AJ19" i="33"/>
  <c r="AI19" i="33"/>
  <c r="AH19" i="33"/>
  <c r="AK18" i="33"/>
  <c r="AJ18" i="33"/>
  <c r="AI18" i="33"/>
  <c r="AH18" i="33"/>
  <c r="AK17" i="33"/>
  <c r="AJ17" i="33"/>
  <c r="AI17" i="33"/>
  <c r="AH17" i="33"/>
  <c r="AK16" i="33"/>
  <c r="AJ16" i="33"/>
  <c r="AI16" i="33"/>
  <c r="AH16" i="33"/>
  <c r="AK15" i="33"/>
  <c r="AJ15" i="33"/>
  <c r="AI15" i="33"/>
  <c r="AH15" i="33"/>
  <c r="AK14" i="33"/>
  <c r="AJ14" i="33"/>
  <c r="AI14" i="33"/>
  <c r="AH14" i="33"/>
  <c r="AK13" i="33"/>
  <c r="AJ13" i="33"/>
  <c r="AI13" i="33"/>
  <c r="AH13" i="33"/>
  <c r="AK12" i="33"/>
  <c r="AJ12" i="33"/>
  <c r="AI12" i="33"/>
  <c r="AH12" i="33"/>
  <c r="AK11" i="33"/>
  <c r="AJ11" i="33"/>
  <c r="AI11" i="33"/>
  <c r="AH11" i="33"/>
  <c r="AK10" i="33"/>
  <c r="AJ10" i="33"/>
  <c r="AI10" i="33"/>
  <c r="AH10" i="33"/>
  <c r="AK9" i="33"/>
  <c r="AJ9" i="33"/>
  <c r="AI9" i="33"/>
  <c r="AH9" i="33"/>
  <c r="AK8" i="33"/>
  <c r="AJ8" i="33"/>
  <c r="AI8" i="33"/>
  <c r="AH8" i="33"/>
  <c r="AK7" i="33"/>
  <c r="AJ7" i="33"/>
  <c r="AI7" i="33"/>
  <c r="AH7" i="33"/>
  <c r="AK6" i="33"/>
  <c r="AJ6" i="33"/>
  <c r="AI6" i="33"/>
  <c r="AK5" i="33"/>
  <c r="AK20" i="33" s="1"/>
  <c r="AJ5" i="33"/>
  <c r="AI5" i="33"/>
  <c r="AI20" i="33" s="1"/>
  <c r="AH5" i="33"/>
  <c r="AK4" i="33"/>
  <c r="AJ4" i="33"/>
  <c r="AI4" i="33"/>
  <c r="AH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N25" i="34" l="1"/>
  <c r="AM25" i="21"/>
  <c r="AJ20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H20" i="33"/>
  <c r="AH21" i="33" s="1"/>
  <c r="AH22" i="33" s="1"/>
  <c r="AJ25" i="36"/>
  <c r="AJ26" i="36" s="1"/>
  <c r="AJ27" i="36" s="1"/>
  <c r="AI25" i="22"/>
  <c r="AG26" i="38"/>
  <c r="AT25" i="38"/>
  <c r="AL25" i="37"/>
  <c r="AM26" i="34"/>
  <c r="AM27" i="34" s="1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<sst xmlns="http://schemas.openxmlformats.org/spreadsheetml/2006/main" count="455" uniqueCount="153">
  <si>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</si>
  <si>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</si>
  <si>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</si>
  <si>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</si>
  <si>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</si>
  <si>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</si>
  <si>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</si>
  <si>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</si>
  <si>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</si>
  <si>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</si>
  <si>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</si>
  <si>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</si>
  <si>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</si>
  <si>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</si>
  <si>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</si>
  <si>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</si>
  <si>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</si>
  <si>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</si>
  <si>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</si>
  <si>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</si>
  <si>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</si>
  <si>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</si>
  <si>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</si>
  <si>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</si>
  <si>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</si>
  <si>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</si>
  <si>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</si>
  <si>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</si>
  <si>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</si>
  <si>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</si>
  <si>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</si>
  <si>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</si>
  <si>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</si>
  <si>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</si>
  <si>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</si>
  <si>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</si>
  <si>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</si>
  <si>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</si>
  <si>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</si>
  <si>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</si>
  <si>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</si>
  <si>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</si>
  <si>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</si>
  <si>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</si>
  <si>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</si>
  <si>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</si>
  <si>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</si>
  <si>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</si>
  <si>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</si>
  <si>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</si>
  <si>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</si>
  <si>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</si>
  <si>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</si>
  <si>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</si>
  <si>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</si>
  <si>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</si>
  <si>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</si>
  <si>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</si>
  <si>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</si>
  <si>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</si>
  <si>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</si>
  <si>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</si>
  <si>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</si>
  <si>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</si>
  <si>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</si>
  <si>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</si>
  <si>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</si>
  <si>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</si>
  <si>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</si>
  <si>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</si>
  <si>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</si>
  <si>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</si>
  <si>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</si>
  <si>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</si>
  <si>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</si>
  <si>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</si>
  <si>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</si>
  <si>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</si>
  <si>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</si>
  <si>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</si>
  <si>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</si>
  <si>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</si>
  <si>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</si>
  <si>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</si>
  <si>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</si>
  <si>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</si>
  <si>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</si>
  <si>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</si>
  <si>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</si>
  <si>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</si>
  <si>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</si>
  <si>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</si>
  <si>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</si>
  <si>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</si>
  <si>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</si>
  <si>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</si>
  <si>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</si>
  <si>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</si>
  <si>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</si>
  <si>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</si>
  <si>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</si>
  <si>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</si>
  <si>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</si>
  <si>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</si>
  <si>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</si>
  <si>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</si>
  <si>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</si>
  <si>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</si>
  <si>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</si>
  <si>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</si>
  <si>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</si>
  <si>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</si>
  <si>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</si>
  <si>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mlkjlk</t>
  </si>
  <si>
    <t xml:space="preserve">طوى اعتير للتعليم الاساسى </t>
  </si>
  <si>
    <t xml:space="preserve">السادس والسابع والعاشر </t>
  </si>
  <si>
    <t xml:space="preserve">هانى رجب محمد الشامى </t>
  </si>
  <si>
    <t>معلم كيمياء</t>
  </si>
  <si>
    <t xml:space="preserve">محمد محاد سعيد تمان العمرى </t>
  </si>
  <si>
    <t>محمد سالم على العمرى</t>
  </si>
  <si>
    <t>سعيد عامر محمد العمرى</t>
  </si>
  <si>
    <t>على سعيد احمد العمرى</t>
  </si>
  <si>
    <t>محمد لبخيت محاد العمرى</t>
  </si>
  <si>
    <t xml:space="preserve">طلال سالم احمد قيطون </t>
  </si>
  <si>
    <t xml:space="preserve">سالم محمد سالم باقى </t>
  </si>
  <si>
    <t>صدام عادل سعيد على قيطون</t>
  </si>
  <si>
    <t xml:space="preserve">سهيل محمد سهيل لبخيت العمرى </t>
  </si>
  <si>
    <t>2-أ</t>
  </si>
  <si>
    <t>7-أ</t>
  </si>
  <si>
    <t>9-أ</t>
  </si>
  <si>
    <t>12-أ</t>
  </si>
  <si>
    <t>14-أ</t>
  </si>
  <si>
    <t>17-أ</t>
  </si>
  <si>
    <t xml:space="preserve">17-ب </t>
  </si>
  <si>
    <t>24-أ</t>
  </si>
  <si>
    <t xml:space="preserve">محمد سالم محمد المشيخى </t>
  </si>
  <si>
    <t xml:space="preserve">حمزة إبراهيم سالم المشيخى </t>
  </si>
  <si>
    <t xml:space="preserve">مسلم حامد محمد العويسى </t>
  </si>
  <si>
    <t xml:space="preserve">هلال سعيد محمد العمرى </t>
  </si>
  <si>
    <t>سعيد سالم على الشحرى</t>
  </si>
  <si>
    <t>عبدالله سالم بخيت العمرى</t>
  </si>
  <si>
    <t xml:space="preserve">على سالم على باقى </t>
  </si>
  <si>
    <t>مهدى مستهيل الشحرى</t>
  </si>
  <si>
    <r>
      <rPr>
        <b/>
        <sz val="18"/>
        <color theme="1"/>
        <rFont val="Arial"/>
        <family val="2"/>
        <scheme val="minor"/>
      </rPr>
      <t>عبدالرحمن مسلم مبارك</t>
    </r>
    <r>
      <rPr>
        <b/>
        <sz val="16"/>
        <color theme="1"/>
        <rFont val="Sakkal Majalla"/>
      </rPr>
      <t xml:space="preserve"> </t>
    </r>
  </si>
  <si>
    <t>سعيد سالم المشيخى</t>
  </si>
  <si>
    <t>محمد احمد سالم العمرى</t>
  </si>
  <si>
    <t xml:space="preserve">شعيب حسن </t>
  </si>
  <si>
    <t>بخيت سهيل تمان العمرى</t>
  </si>
  <si>
    <t>محمد احمد محمد العمرى</t>
  </si>
  <si>
    <t>على ممد تمان العمرى</t>
  </si>
  <si>
    <t xml:space="preserve">على مسعود سالم </t>
  </si>
  <si>
    <t xml:space="preserve">عامر حاتم عامر </t>
  </si>
  <si>
    <t>معاذ محمد سعيد العمرى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</si>
</sst>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  <font>
      <b/>
      <sz val="18"/>
      <color theme="1"/>
      <name val="Arial"/>
      <family val="2"/>
      <scheme val="minor"/>
    </font>
    <font>
      <b/>
      <sz val="16"/>
      <color theme="1"/>
      <name val="Sakkal Majall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12" fillId="0" borderId="1" xfId="0" applyFont="1" applyBorder="1"/>
    <xf numFmtId="0" fontId="13" fillId="0" borderId="1" xfId="0" applyFont="1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</cellXfs>
  <cellStyles count="1">
    <cellStyle name="عادي" xfId="0" builtinId="0"/>
  </cellStyles>
  <dxfs count="145"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35</c:v>
                </c:pt>
                <c:pt idx="1">
                  <c:v>83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27.777777777777779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38.888888888888893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❻'!$AI$20:$AK$20</c:f>
              <c:numCache>
                <c:formatCode>General</c:formatCode>
                <c:ptCount val="3"/>
                <c:pt idx="0">
                  <c:v>0</c:v>
                </c:pt>
                <c:pt idx="1">
                  <c:v>110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❻'!$I$21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❻'!$X$21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❻'!$Z$21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❻'!$AB$21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❻'!$AC$21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❻'!$AD$21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❻'!$AE$21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62.961111111111094</c:v>
                </c:pt>
                <c:pt idx="1">
                  <c:v>114</c:v>
                </c:pt>
                <c:pt idx="2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83.333333333333343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62.962962962962962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25</xdr:row>
      <xdr:rowOff>69695</xdr:rowOff>
    </xdr:from>
    <xdr:to>
      <xdr:col>33</xdr:col>
      <xdr:colOff>250348</xdr:colOff>
      <xdr:row>52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95763</xdr:rowOff>
    </xdr:from>
    <xdr:to>
      <xdr:col>17</xdr:col>
      <xdr:colOff>612689</xdr:colOff>
      <xdr:row>53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C029A-42DF-4D68-9864-C559D2ADED31}" name="Table1" displayName="Table1" ref="D2:D5" totalsRowShown="0" dataDxfId="144">
  <autoFilter ref="D2:D5" xr:uid="{9D9C029A-42DF-4D68-9864-C559D2ADED31}"/>
  <tableColumns count="1">
    <tableColumn id="1" xr3:uid="{C76991AB-617B-4BCB-B71E-378E088D3C75}" name="Column1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5077-DC97-4F35-ABCC-8B8D7272BB6E}">
  <sheetPr codeName="Sheet1">
    <tabColor rgb="FFFF0000"/>
  </sheetPr>
  <dimension ref="A1:O21"/>
  <sheetViews>
    <sheetView rightToLeft="1" topLeftCell="A7" zoomScaleNormal="100" workbookViewId="0">
      <selection activeCell="F15" sqref="F15:M15"/>
    </sheetView>
  </sheetViews>
  <sheetFormatPr defaultRowHeight="13.8" x14ac:dyDescent="0.25"/>
  <cols>
    <col min="14" max="14" width="40.8984375" customWidth="1"/>
    <col min="15" max="15" width="18.8984375" customWidth="1"/>
  </cols>
  <sheetData>
    <row r="1" spans="3:14" ht="24.6" x14ac:dyDescent="0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4.6" x14ac:dyDescent="0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4.6" x14ac:dyDescent="0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x14ac:dyDescent="0.2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 x14ac:dyDescent="0.25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 x14ac:dyDescent="0.25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 x14ac:dyDescent="0.25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 x14ac:dyDescent="0.25">
      <c r="C8" s="63" t="s">
        <v>112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5"/>
    </row>
    <row r="9" spans="3:14" ht="15" customHeight="1" x14ac:dyDescent="0.25"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8"/>
    </row>
    <row r="10" spans="3:14" ht="14.4" thickBot="1" x14ac:dyDescent="0.3"/>
    <row r="11" spans="3:14" ht="27" thickBot="1" x14ac:dyDescent="0.75">
      <c r="C11" s="69" t="s">
        <v>0</v>
      </c>
      <c r="D11" s="70"/>
      <c r="E11" s="70"/>
      <c r="F11" s="71" t="s">
        <v>114</v>
      </c>
      <c r="G11" s="71"/>
      <c r="H11" s="71"/>
      <c r="I11" s="71"/>
      <c r="J11" s="71"/>
      <c r="K11" s="71"/>
      <c r="L11" s="71"/>
      <c r="M11" s="71"/>
    </row>
    <row r="12" spans="3:14" ht="27" thickBot="1" x14ac:dyDescent="0.75">
      <c r="C12" s="69" t="s">
        <v>12</v>
      </c>
      <c r="D12" s="70"/>
      <c r="E12" s="70"/>
      <c r="F12" s="71" t="s">
        <v>115</v>
      </c>
      <c r="G12" s="71"/>
      <c r="H12" s="71"/>
      <c r="I12" s="71"/>
      <c r="J12" s="71"/>
      <c r="K12" s="71"/>
      <c r="L12" s="71"/>
      <c r="M12" s="71"/>
    </row>
    <row r="13" spans="3:14" ht="27" thickBot="1" x14ac:dyDescent="0.75">
      <c r="C13" s="69" t="s">
        <v>1</v>
      </c>
      <c r="D13" s="70"/>
      <c r="E13" s="70"/>
      <c r="F13" s="71" t="s">
        <v>116</v>
      </c>
      <c r="G13" s="71"/>
      <c r="H13" s="71"/>
      <c r="I13" s="71"/>
      <c r="J13" s="71"/>
      <c r="K13" s="71"/>
      <c r="L13" s="71"/>
      <c r="M13" s="71"/>
    </row>
    <row r="14" spans="3:14" ht="27" thickBot="1" x14ac:dyDescent="0.75">
      <c r="C14" s="69" t="s">
        <v>5</v>
      </c>
      <c r="D14" s="70"/>
      <c r="E14" s="70"/>
      <c r="F14" s="71">
        <v>16192833</v>
      </c>
      <c r="G14" s="71"/>
      <c r="H14" s="71"/>
      <c r="I14" s="71"/>
      <c r="J14" s="71"/>
      <c r="K14" s="71"/>
      <c r="L14" s="71"/>
      <c r="M14" s="71"/>
    </row>
    <row r="15" spans="3:14" ht="27" thickBot="1" x14ac:dyDescent="0.75">
      <c r="C15" s="69" t="s">
        <v>6</v>
      </c>
      <c r="D15" s="70"/>
      <c r="E15" s="70"/>
      <c r="F15" s="71" t="s">
        <v>117</v>
      </c>
      <c r="G15" s="71"/>
      <c r="H15" s="71"/>
      <c r="I15" s="71"/>
      <c r="J15" s="71"/>
      <c r="K15" s="71"/>
      <c r="L15" s="71"/>
      <c r="M15" s="71"/>
    </row>
    <row r="16" spans="3:14" ht="14.4" thickBot="1" x14ac:dyDescent="0.3"/>
    <row r="17" spans="1:15" ht="22.8" x14ac:dyDescent="0.4">
      <c r="B17" s="74" t="s">
        <v>11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</row>
    <row r="18" spans="1:15" ht="22.8" x14ac:dyDescent="0.4">
      <c r="B18" s="77" t="s">
        <v>107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9"/>
    </row>
    <row r="19" spans="1:15" ht="22.8" x14ac:dyDescent="0.4">
      <c r="B19" s="80" t="s">
        <v>111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2"/>
    </row>
    <row r="20" spans="1:15" ht="22.8" x14ac:dyDescent="0.4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2.8" x14ac:dyDescent="0.4">
      <c r="A21" s="54"/>
      <c r="B21" s="72" t="s">
        <v>109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3"/>
    </row>
  </sheetData>
  <mergeCells count="15">
    <mergeCell ref="B21:N21"/>
    <mergeCell ref="B17:N17"/>
    <mergeCell ref="B18:N18"/>
    <mergeCell ref="B19:N19"/>
    <mergeCell ref="C11:E11"/>
    <mergeCell ref="F11:M11"/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B10C-72A5-47AD-9947-D3FE7938A446}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3.8" x14ac:dyDescent="0.25"/>
  <cols>
    <col min="1" max="1" width="4" style="2" customWidth="1"/>
    <col min="2" max="2" width="37.09765625" style="2" customWidth="1"/>
    <col min="3" max="32" width="11.8984375" bestFit="1" customWidth="1"/>
    <col min="33" max="33" width="11.296875" bestFit="1" customWidth="1"/>
    <col min="34" max="34" width="14.59765625" customWidth="1"/>
    <col min="35" max="35" width="20.09765625" customWidth="1"/>
    <col min="36" max="36" width="16.296875" customWidth="1"/>
    <col min="37" max="37" width="9.09765625" customWidth="1"/>
    <col min="38" max="38" width="0.296875" customWidth="1"/>
    <col min="39" max="39" width="16.69921875" customWidth="1"/>
    <col min="40" max="40" width="16" customWidth="1"/>
    <col min="41" max="41" width="15.296875" customWidth="1"/>
    <col min="42" max="42" width="15.59765625" customWidth="1"/>
    <col min="43" max="43" width="16" customWidth="1"/>
  </cols>
  <sheetData>
    <row r="3" spans="1:43" ht="50.25" customHeight="1" x14ac:dyDescent="0.25">
      <c r="A3" s="57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 x14ac:dyDescent="0.25">
      <c r="A4" s="58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7" thickBot="1" x14ac:dyDescent="0.75">
      <c r="A25" s="59" t="s">
        <v>19</v>
      </c>
      <c r="B25" s="60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 x14ac:dyDescent="0.75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7.6" thickTop="1" thickBot="1" x14ac:dyDescent="0.75">
      <c r="A27" s="61" t="s">
        <v>110</v>
      </c>
      <c r="B27" s="62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2" priority="209" operator="between">
      <formula>1</formula>
      <formula>5</formula>
    </cfRule>
    <cfRule type="cellIs" dxfId="141" priority="210" operator="lessThan">
      <formula>1</formula>
    </cfRule>
    <cfRule type="containsText" dxfId="140" priority="211" operator="containsText" text="0">
      <formula>NOT(ISERROR(SEARCH("0",C5)))</formula>
    </cfRule>
    <cfRule type="containsText" dxfId="139" priority="212" operator="containsText" text="0">
      <formula>NOT(ISERROR(SEARCH("0",C5)))</formula>
    </cfRule>
    <cfRule type="containsText" dxfId="138" priority="215" operator="containsText" text="1">
      <formula>NOT(ISERROR(SEARCH("1",C5)))</formula>
    </cfRule>
    <cfRule type="containsText" dxfId="137" priority="216" operator="containsText" text="0">
      <formula>NOT(ISERROR(SEARCH("0",C5)))</formula>
    </cfRule>
  </conditionalFormatting>
  <conditionalFormatting sqref="C26:AJ26">
    <cfRule type="cellIs" dxfId="136" priority="1" operator="between">
      <formula>40</formula>
      <formula>50</formula>
    </cfRule>
    <cfRule type="cellIs" dxfId="135" priority="65" operator="greaterThan">
      <formula>70</formula>
    </cfRule>
    <cfRule type="cellIs" dxfId="134" priority="68" operator="between">
      <formula>60</formula>
      <formula>70</formula>
    </cfRule>
    <cfRule type="cellIs" dxfId="133" priority="70" operator="lessThan">
      <formula>40</formula>
    </cfRule>
    <cfRule type="cellIs" dxfId="132" priority="72" operator="between">
      <formula>50</formula>
      <formula>60</formula>
    </cfRule>
  </conditionalFormatting>
  <conditionalFormatting sqref="C27:AJ27">
    <cfRule type="cellIs" dxfId="131" priority="93" operator="between">
      <formula>70</formula>
      <formula>100</formula>
    </cfRule>
  </conditionalFormatting>
  <conditionalFormatting sqref="AN6:AQ6">
    <cfRule type="expression" dxfId="13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59A1-1C1D-4E01-A9C4-8CF78B191799}">
  <sheetPr>
    <tabColor rgb="FFFFC000"/>
  </sheetPr>
  <dimension ref="A3:AP58"/>
  <sheetViews>
    <sheetView rightToLeft="1" tabSelected="1" topLeftCell="K1" zoomScale="80" zoomScaleNormal="80" zoomScaleSheetLayoutView="80" workbookViewId="0">
      <pane ySplit="4" topLeftCell="A5" activePane="bottomLeft" state="frozen"/>
      <selection activeCell="D1" sqref="D1"/>
      <selection pane="bottomLeft" activeCell="AF13" sqref="AF13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24" width="10.296875" bestFit="1" customWidth="1"/>
    <col min="25" max="25" width="10.296875" customWidth="1"/>
    <col min="26" max="31" width="10.296875" bestFit="1" customWidth="1"/>
    <col min="32" max="32" width="13" customWidth="1"/>
    <col min="33" max="33" width="14.59765625" customWidth="1"/>
    <col min="34" max="34" width="20.09765625" customWidth="1"/>
    <col min="35" max="35" width="16.296875" customWidth="1"/>
    <col min="36" max="36" width="9.09765625" customWidth="1"/>
    <col min="37" max="37" width="0.296875" customWidth="1"/>
    <col min="38" max="38" width="16.69921875" customWidth="1"/>
    <col min="39" max="39" width="16" customWidth="1"/>
    <col min="40" max="40" width="15.296875" customWidth="1"/>
    <col min="41" max="41" width="15.59765625" customWidth="1"/>
    <col min="42" max="42" width="16" customWidth="1"/>
  </cols>
  <sheetData>
    <row r="3" spans="1:42" ht="50.25" customHeight="1" x14ac:dyDescent="0.25">
      <c r="A3" s="57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 x14ac:dyDescent="0.25">
      <c r="A4" s="58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6.4" x14ac:dyDescent="0.7">
      <c r="A5" s="5">
        <v>1</v>
      </c>
      <c r="B5" s="6" t="s">
        <v>144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</v>
      </c>
      <c r="L5" s="3">
        <v>0</v>
      </c>
      <c r="M5" s="3">
        <v>1</v>
      </c>
      <c r="N5" s="3">
        <v>1</v>
      </c>
      <c r="O5" s="3">
        <v>0</v>
      </c>
      <c r="P5" s="3">
        <v>0</v>
      </c>
      <c r="Q5" s="3">
        <v>1</v>
      </c>
      <c r="R5" s="3">
        <v>0</v>
      </c>
      <c r="S5" s="3">
        <v>1</v>
      </c>
      <c r="T5" s="3">
        <v>1</v>
      </c>
      <c r="U5" s="3">
        <v>0</v>
      </c>
      <c r="V5" s="3">
        <v>1</v>
      </c>
      <c r="W5" s="9">
        <v>2</v>
      </c>
      <c r="X5" s="9">
        <v>0</v>
      </c>
      <c r="Y5" s="9">
        <v>0</v>
      </c>
      <c r="Z5" s="9">
        <v>2</v>
      </c>
      <c r="AA5" s="9">
        <v>0</v>
      </c>
      <c r="AB5" s="9">
        <v>1</v>
      </c>
      <c r="AC5" s="9">
        <v>0</v>
      </c>
      <c r="AD5" s="9">
        <v>0</v>
      </c>
      <c r="AE5" s="9">
        <v>0</v>
      </c>
      <c r="AF5" s="26">
        <f t="shared" si="0"/>
        <v>13</v>
      </c>
      <c r="AG5" s="14">
        <f t="shared" ref="AG5:AG24" si="1">AC5+X5+V5+R5+N5+L5+I5</f>
        <v>2</v>
      </c>
      <c r="AH5" s="11">
        <f t="shared" ref="AH5:AH24" si="2">AE5+AD5+AA5+Y5+U5+Q5+P5+O5+M5+K5+F5+E5+D5</f>
        <v>4</v>
      </c>
      <c r="AI5" s="10">
        <f t="shared" ref="AI5:AI24" si="3">AB5+Z5+W5+T5+S5+J5+H5+G5+C5</f>
        <v>7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6.4" x14ac:dyDescent="0.7">
      <c r="A6" s="5">
        <v>2</v>
      </c>
      <c r="B6" s="6" t="s">
        <v>145</v>
      </c>
      <c r="C6" s="3">
        <v>0</v>
      </c>
      <c r="D6" s="3">
        <v>0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9">
        <v>2</v>
      </c>
      <c r="X6" s="9">
        <v>0</v>
      </c>
      <c r="Y6" s="9">
        <v>1</v>
      </c>
      <c r="Z6" s="9">
        <v>0</v>
      </c>
      <c r="AA6" s="9">
        <v>1</v>
      </c>
      <c r="AB6" s="9">
        <v>2</v>
      </c>
      <c r="AC6" s="9">
        <v>0</v>
      </c>
      <c r="AD6" s="9">
        <v>0</v>
      </c>
      <c r="AE6" s="9">
        <v>0</v>
      </c>
      <c r="AF6" s="26">
        <f t="shared" si="0"/>
        <v>14</v>
      </c>
      <c r="AG6" s="14">
        <f t="shared" si="1"/>
        <v>1</v>
      </c>
      <c r="AH6" s="11">
        <f t="shared" si="2"/>
        <v>6</v>
      </c>
      <c r="AI6" s="10">
        <f t="shared" si="3"/>
        <v>7</v>
      </c>
    </row>
    <row r="7" spans="1:42" ht="26.4" x14ac:dyDescent="0.7">
      <c r="A7" s="5">
        <v>3</v>
      </c>
      <c r="B7" s="6" t="s">
        <v>146</v>
      </c>
      <c r="C7" s="3">
        <v>1</v>
      </c>
      <c r="D7" s="3">
        <v>0</v>
      </c>
      <c r="E7" s="3">
        <v>1</v>
      </c>
      <c r="F7" s="3">
        <v>0</v>
      </c>
      <c r="G7" s="3">
        <v>2</v>
      </c>
      <c r="H7" s="3">
        <v>0</v>
      </c>
      <c r="I7" s="3">
        <v>1</v>
      </c>
      <c r="J7" s="3">
        <v>1</v>
      </c>
      <c r="K7" s="3">
        <v>0</v>
      </c>
      <c r="L7" s="3">
        <v>1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2</v>
      </c>
      <c r="T7" s="3">
        <v>0</v>
      </c>
      <c r="U7" s="3">
        <v>0</v>
      </c>
      <c r="V7" s="3">
        <v>1</v>
      </c>
      <c r="W7" s="9">
        <v>0</v>
      </c>
      <c r="X7" s="9">
        <v>1</v>
      </c>
      <c r="Y7" s="9">
        <v>0</v>
      </c>
      <c r="Z7" s="9">
        <v>0</v>
      </c>
      <c r="AA7" s="9">
        <v>1</v>
      </c>
      <c r="AB7" s="9">
        <v>2</v>
      </c>
      <c r="AC7" s="9">
        <v>0</v>
      </c>
      <c r="AD7" s="9">
        <v>0</v>
      </c>
      <c r="AE7" s="9">
        <v>0</v>
      </c>
      <c r="AF7" s="26">
        <f t="shared" si="0"/>
        <v>15</v>
      </c>
      <c r="AG7" s="14">
        <f t="shared" si="1"/>
        <v>4</v>
      </c>
      <c r="AH7" s="11">
        <f t="shared" si="2"/>
        <v>3</v>
      </c>
      <c r="AI7" s="10">
        <f t="shared" si="3"/>
        <v>8</v>
      </c>
    </row>
    <row r="8" spans="1:42" ht="26.4" x14ac:dyDescent="0.7">
      <c r="A8" s="5">
        <v>4</v>
      </c>
      <c r="B8" s="6" t="s">
        <v>147</v>
      </c>
      <c r="C8" s="3">
        <v>0</v>
      </c>
      <c r="D8" s="3">
        <v>0</v>
      </c>
      <c r="E8" s="3">
        <v>1</v>
      </c>
      <c r="F8" s="3">
        <v>1</v>
      </c>
      <c r="G8" s="3">
        <v>1</v>
      </c>
      <c r="H8" s="3">
        <v>0</v>
      </c>
      <c r="I8" s="3">
        <v>1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2</v>
      </c>
      <c r="P8" s="3">
        <v>0</v>
      </c>
      <c r="Q8" s="3">
        <v>0</v>
      </c>
      <c r="R8" s="3">
        <v>0</v>
      </c>
      <c r="S8" s="3">
        <v>2</v>
      </c>
      <c r="T8" s="3">
        <v>0</v>
      </c>
      <c r="U8" s="3">
        <v>0</v>
      </c>
      <c r="V8" s="3">
        <v>1</v>
      </c>
      <c r="W8" s="9">
        <v>0</v>
      </c>
      <c r="X8" s="9">
        <v>1</v>
      </c>
      <c r="Y8" s="9">
        <v>0</v>
      </c>
      <c r="Z8" s="9">
        <v>2</v>
      </c>
      <c r="AA8" s="9">
        <v>0</v>
      </c>
      <c r="AB8" s="9">
        <v>0</v>
      </c>
      <c r="AC8" s="9">
        <v>1</v>
      </c>
      <c r="AD8" s="9">
        <v>1</v>
      </c>
      <c r="AE8" s="9">
        <v>0</v>
      </c>
      <c r="AF8" s="26">
        <f t="shared" si="0"/>
        <v>16</v>
      </c>
      <c r="AG8" s="14">
        <f t="shared" si="1"/>
        <v>4</v>
      </c>
      <c r="AH8" s="11">
        <f t="shared" si="2"/>
        <v>5</v>
      </c>
      <c r="AI8" s="10">
        <f t="shared" si="3"/>
        <v>7</v>
      </c>
    </row>
    <row r="9" spans="1:42" ht="26.4" x14ac:dyDescent="0.7">
      <c r="A9" s="5">
        <v>5</v>
      </c>
      <c r="B9" s="6" t="s">
        <v>148</v>
      </c>
      <c r="C9" s="3">
        <v>1</v>
      </c>
      <c r="D9" s="3">
        <v>2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2</v>
      </c>
      <c r="K9" s="3">
        <v>2</v>
      </c>
      <c r="L9" s="3">
        <v>0</v>
      </c>
      <c r="M9" s="3">
        <v>1</v>
      </c>
      <c r="N9" s="3">
        <v>1</v>
      </c>
      <c r="O9" s="3">
        <v>2</v>
      </c>
      <c r="P9" s="3">
        <v>0</v>
      </c>
      <c r="Q9" s="3">
        <v>1</v>
      </c>
      <c r="R9" s="3">
        <v>0</v>
      </c>
      <c r="S9" s="3">
        <v>2</v>
      </c>
      <c r="T9" s="3">
        <v>1</v>
      </c>
      <c r="U9" s="3">
        <v>2</v>
      </c>
      <c r="V9" s="3">
        <v>1</v>
      </c>
      <c r="W9" s="9">
        <v>2</v>
      </c>
      <c r="X9" s="9">
        <v>1</v>
      </c>
      <c r="Y9" s="9">
        <v>0</v>
      </c>
      <c r="Z9" s="9">
        <v>2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26">
        <f t="shared" si="0"/>
        <v>32</v>
      </c>
      <c r="AG9" s="14">
        <f t="shared" si="1"/>
        <v>4</v>
      </c>
      <c r="AH9" s="11">
        <f t="shared" si="2"/>
        <v>13</v>
      </c>
      <c r="AI9" s="10">
        <f t="shared" si="3"/>
        <v>15</v>
      </c>
    </row>
    <row r="10" spans="1:42" ht="26.4" x14ac:dyDescent="0.7">
      <c r="A10" s="5">
        <v>6</v>
      </c>
      <c r="B10" s="6" t="s">
        <v>149</v>
      </c>
      <c r="C10" s="3">
        <v>1</v>
      </c>
      <c r="D10" s="3">
        <v>1</v>
      </c>
      <c r="E10" s="3">
        <v>1</v>
      </c>
      <c r="F10" s="3">
        <v>1</v>
      </c>
      <c r="G10" s="3">
        <v>2</v>
      </c>
      <c r="H10" s="3">
        <v>1</v>
      </c>
      <c r="I10" s="3">
        <v>0</v>
      </c>
      <c r="J10" s="3">
        <v>2</v>
      </c>
      <c r="K10" s="3">
        <v>2</v>
      </c>
      <c r="L10" s="3">
        <v>1</v>
      </c>
      <c r="M10" s="3">
        <v>1</v>
      </c>
      <c r="N10" s="3">
        <v>1</v>
      </c>
      <c r="O10" s="3">
        <v>2</v>
      </c>
      <c r="P10" s="3">
        <v>1</v>
      </c>
      <c r="Q10" s="3">
        <v>1</v>
      </c>
      <c r="R10" s="3">
        <v>1</v>
      </c>
      <c r="S10" s="3">
        <v>0</v>
      </c>
      <c r="T10" s="3">
        <v>1</v>
      </c>
      <c r="U10" s="3">
        <v>2</v>
      </c>
      <c r="V10" s="3">
        <v>1</v>
      </c>
      <c r="W10" s="9">
        <v>2</v>
      </c>
      <c r="X10" s="9">
        <v>1</v>
      </c>
      <c r="Y10" s="9">
        <v>1</v>
      </c>
      <c r="Z10" s="9">
        <v>2</v>
      </c>
      <c r="AA10" s="9">
        <v>1</v>
      </c>
      <c r="AB10" s="9">
        <v>2</v>
      </c>
      <c r="AC10" s="9">
        <v>1</v>
      </c>
      <c r="AD10" s="9">
        <v>1</v>
      </c>
      <c r="AE10" s="9">
        <v>1</v>
      </c>
      <c r="AF10" s="26">
        <f t="shared" si="0"/>
        <v>35</v>
      </c>
      <c r="AG10" s="14">
        <f t="shared" si="1"/>
        <v>6</v>
      </c>
      <c r="AH10" s="11">
        <f t="shared" si="2"/>
        <v>16</v>
      </c>
      <c r="AI10" s="10">
        <f t="shared" si="3"/>
        <v>13</v>
      </c>
    </row>
    <row r="11" spans="1:42" ht="26.4" x14ac:dyDescent="0.7">
      <c r="A11" s="5">
        <v>7</v>
      </c>
      <c r="B11" s="6" t="s">
        <v>150</v>
      </c>
      <c r="C11" s="3">
        <v>1</v>
      </c>
      <c r="D11" s="3">
        <v>2</v>
      </c>
      <c r="E11" s="3">
        <v>1</v>
      </c>
      <c r="F11" s="3">
        <v>1</v>
      </c>
      <c r="G11" s="3">
        <v>2</v>
      </c>
      <c r="H11" s="3">
        <v>1</v>
      </c>
      <c r="I11" s="3">
        <v>1</v>
      </c>
      <c r="J11" s="3">
        <v>2</v>
      </c>
      <c r="K11" s="3">
        <v>2</v>
      </c>
      <c r="L11" s="3">
        <v>1</v>
      </c>
      <c r="M11" s="3">
        <v>1</v>
      </c>
      <c r="N11" s="3">
        <v>1</v>
      </c>
      <c r="O11" s="3">
        <v>2</v>
      </c>
      <c r="P11" s="3">
        <v>1</v>
      </c>
      <c r="Q11" s="3">
        <v>1</v>
      </c>
      <c r="R11" s="3">
        <v>1</v>
      </c>
      <c r="S11" s="3">
        <v>0</v>
      </c>
      <c r="T11" s="3">
        <v>1</v>
      </c>
      <c r="U11" s="3">
        <v>1</v>
      </c>
      <c r="V11" s="3">
        <v>1</v>
      </c>
      <c r="W11" s="9">
        <v>2</v>
      </c>
      <c r="X11" s="9">
        <v>1</v>
      </c>
      <c r="Y11" s="9">
        <v>1</v>
      </c>
      <c r="Z11" s="9">
        <v>0</v>
      </c>
      <c r="AA11" s="9">
        <v>1</v>
      </c>
      <c r="AB11" s="9">
        <v>2</v>
      </c>
      <c r="AC11" s="9">
        <v>1</v>
      </c>
      <c r="AD11" s="9">
        <v>1</v>
      </c>
      <c r="AE11" s="9">
        <v>1</v>
      </c>
      <c r="AF11" s="26">
        <f t="shared" si="0"/>
        <v>34</v>
      </c>
      <c r="AG11" s="14">
        <f t="shared" si="1"/>
        <v>7</v>
      </c>
      <c r="AH11" s="11">
        <f t="shared" si="2"/>
        <v>16</v>
      </c>
      <c r="AI11" s="10">
        <f t="shared" si="3"/>
        <v>11</v>
      </c>
    </row>
    <row r="12" spans="1:42" ht="26.4" x14ac:dyDescent="0.7">
      <c r="A12" s="5">
        <v>8</v>
      </c>
      <c r="B12" s="6" t="s">
        <v>151</v>
      </c>
      <c r="C12" s="3">
        <v>1</v>
      </c>
      <c r="D12" s="3">
        <v>0</v>
      </c>
      <c r="E12" s="3">
        <v>1</v>
      </c>
      <c r="F12" s="3">
        <v>1</v>
      </c>
      <c r="G12" s="3">
        <v>2</v>
      </c>
      <c r="H12" s="3">
        <v>1</v>
      </c>
      <c r="I12" s="3">
        <v>0</v>
      </c>
      <c r="J12" s="3">
        <v>2</v>
      </c>
      <c r="K12" s="3">
        <v>0</v>
      </c>
      <c r="L12" s="3">
        <v>0</v>
      </c>
      <c r="M12" s="3">
        <v>1</v>
      </c>
      <c r="N12" s="3">
        <v>0</v>
      </c>
      <c r="O12" s="3">
        <v>2</v>
      </c>
      <c r="P12" s="3">
        <v>0</v>
      </c>
      <c r="Q12" s="3">
        <v>0</v>
      </c>
      <c r="R12" s="3">
        <v>0</v>
      </c>
      <c r="S12" s="3">
        <v>2</v>
      </c>
      <c r="T12" s="3">
        <v>0</v>
      </c>
      <c r="U12" s="3">
        <v>2</v>
      </c>
      <c r="V12" s="3">
        <v>1</v>
      </c>
      <c r="W12" s="9">
        <v>2</v>
      </c>
      <c r="X12" s="9">
        <v>0</v>
      </c>
      <c r="Y12" s="9">
        <v>1</v>
      </c>
      <c r="Z12" s="9">
        <v>0</v>
      </c>
      <c r="AA12" s="9">
        <v>1</v>
      </c>
      <c r="AB12" s="9">
        <v>0</v>
      </c>
      <c r="AC12" s="9">
        <v>0</v>
      </c>
      <c r="AD12" s="9">
        <v>1</v>
      </c>
      <c r="AE12" s="9">
        <v>0</v>
      </c>
      <c r="AF12" s="26">
        <f t="shared" si="0"/>
        <v>21</v>
      </c>
      <c r="AG12" s="14">
        <f t="shared" si="1"/>
        <v>1</v>
      </c>
      <c r="AH12" s="11">
        <f t="shared" si="2"/>
        <v>10</v>
      </c>
      <c r="AI12" s="10">
        <f t="shared" si="3"/>
        <v>10</v>
      </c>
    </row>
    <row r="13" spans="1:42" ht="26.4" x14ac:dyDescent="0.7">
      <c r="A13" s="5">
        <v>9</v>
      </c>
      <c r="B13" s="6" t="s">
        <v>152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 s="3">
        <v>1</v>
      </c>
      <c r="I13" s="3">
        <v>1</v>
      </c>
      <c r="J13" s="3">
        <v>1</v>
      </c>
      <c r="K13" s="3">
        <v>2</v>
      </c>
      <c r="L13" s="3">
        <v>1</v>
      </c>
      <c r="M13" s="3">
        <v>0</v>
      </c>
      <c r="N13" s="3">
        <v>0</v>
      </c>
      <c r="O13" s="3">
        <v>0</v>
      </c>
      <c r="P13" s="3">
        <v>1</v>
      </c>
      <c r="Q13" s="3">
        <v>1</v>
      </c>
      <c r="R13" s="3">
        <v>1</v>
      </c>
      <c r="S13" s="3">
        <v>2</v>
      </c>
      <c r="T13" s="3">
        <v>0</v>
      </c>
      <c r="U13" s="3">
        <v>0</v>
      </c>
      <c r="V13" s="3">
        <v>1</v>
      </c>
      <c r="W13" s="9">
        <v>0</v>
      </c>
      <c r="X13" s="9">
        <v>1</v>
      </c>
      <c r="Y13" s="9">
        <v>1</v>
      </c>
      <c r="Z13" s="9">
        <v>2</v>
      </c>
      <c r="AA13" s="9">
        <v>1</v>
      </c>
      <c r="AB13" s="9">
        <v>1</v>
      </c>
      <c r="AC13" s="9">
        <v>1</v>
      </c>
      <c r="AD13" s="9">
        <v>1</v>
      </c>
      <c r="AE13" s="9">
        <v>0</v>
      </c>
      <c r="AF13" s="26">
        <f t="shared" si="0"/>
        <v>26</v>
      </c>
      <c r="AG13" s="14">
        <f t="shared" si="1"/>
        <v>6</v>
      </c>
      <c r="AH13" s="11">
        <f t="shared" si="2"/>
        <v>10</v>
      </c>
      <c r="AI13" s="10">
        <f t="shared" si="3"/>
        <v>10</v>
      </c>
    </row>
    <row r="14" spans="1:42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7" thickBot="1" x14ac:dyDescent="0.75">
      <c r="A25" s="59" t="s">
        <v>19</v>
      </c>
      <c r="B25" s="60"/>
      <c r="C25" s="4">
        <f>AVERAGE(C5:C24)</f>
        <v>0.66666666666666663</v>
      </c>
      <c r="D25" s="4">
        <f t="shared" ref="D25:AE25" si="4">AVERAGE(D5:D24)</f>
        <v>0.66666666666666663</v>
      </c>
      <c r="E25" s="4">
        <f t="shared" si="4"/>
        <v>0.88888888888888884</v>
      </c>
      <c r="F25" s="4">
        <f t="shared" si="4"/>
        <v>0.77777777777777779</v>
      </c>
      <c r="G25" s="4">
        <f t="shared" si="4"/>
        <v>1.5555555555555556</v>
      </c>
      <c r="H25" s="4">
        <f t="shared" si="4"/>
        <v>0.66666666666666663</v>
      </c>
      <c r="I25" s="4">
        <f t="shared" si="4"/>
        <v>0.55555555555555558</v>
      </c>
      <c r="J25" s="4">
        <f t="shared" si="4"/>
        <v>1.4444444444444444</v>
      </c>
      <c r="K25" s="4">
        <f t="shared" si="4"/>
        <v>1.1111111111111112</v>
      </c>
      <c r="L25" s="4">
        <f t="shared" si="4"/>
        <v>0.44444444444444442</v>
      </c>
      <c r="M25" s="4">
        <f t="shared" si="4"/>
        <v>0.55555555555555558</v>
      </c>
      <c r="N25" s="4">
        <f t="shared" si="4"/>
        <v>0.44444444444444442</v>
      </c>
      <c r="O25" s="4">
        <f t="shared" si="4"/>
        <v>1.4444444444444444</v>
      </c>
      <c r="P25" s="4">
        <f t="shared" si="4"/>
        <v>0.33333333333333331</v>
      </c>
      <c r="Q25" s="4">
        <f t="shared" si="4"/>
        <v>0.55555555555555558</v>
      </c>
      <c r="R25" s="4">
        <f t="shared" si="4"/>
        <v>0.33333333333333331</v>
      </c>
      <c r="S25" s="4">
        <f t="shared" si="4"/>
        <v>1.2222222222222223</v>
      </c>
      <c r="T25" s="4">
        <f t="shared" si="4"/>
        <v>0.44444444444444442</v>
      </c>
      <c r="U25" s="4">
        <f t="shared" si="4"/>
        <v>0.77777777777777779</v>
      </c>
      <c r="V25" s="4">
        <f t="shared" si="4"/>
        <v>1</v>
      </c>
      <c r="W25" s="4">
        <f t="shared" si="4"/>
        <v>1.3333333333333333</v>
      </c>
      <c r="X25" s="4">
        <f t="shared" si="4"/>
        <v>0.66666666666666663</v>
      </c>
      <c r="Y25" s="4">
        <f t="shared" si="4"/>
        <v>0.55555555555555558</v>
      </c>
      <c r="Z25" s="4">
        <f t="shared" si="4"/>
        <v>1.1111111111111112</v>
      </c>
      <c r="AA25" s="4">
        <f t="shared" si="4"/>
        <v>0.77777777777777779</v>
      </c>
      <c r="AB25" s="4">
        <f t="shared" si="4"/>
        <v>1.3333333333333333</v>
      </c>
      <c r="AC25" s="4">
        <f t="shared" si="4"/>
        <v>0.44444444444444442</v>
      </c>
      <c r="AD25" s="4">
        <f t="shared" si="4"/>
        <v>0.55555555555555558</v>
      </c>
      <c r="AE25" s="4">
        <f t="shared" si="4"/>
        <v>0.22222222222222221</v>
      </c>
      <c r="AF25" s="3"/>
      <c r="AG25" s="19">
        <f>SUM(AG5:AG24)</f>
        <v>35</v>
      </c>
      <c r="AH25" s="19">
        <f>SUM(AH5:AH24)</f>
        <v>83</v>
      </c>
      <c r="AI25" s="19">
        <f>SUM(AI5:AI24)</f>
        <v>88</v>
      </c>
    </row>
    <row r="26" spans="1:35" ht="51.75" customHeight="1" thickTop="1" thickBot="1" x14ac:dyDescent="0.75">
      <c r="A26" s="22"/>
      <c r="B26" s="23" t="s">
        <v>34</v>
      </c>
      <c r="C26" s="30">
        <f t="shared" ref="C26:AE26" si="5">C25/C4*100</f>
        <v>66.666666666666657</v>
      </c>
      <c r="D26" s="30">
        <f t="shared" si="5"/>
        <v>33.333333333333329</v>
      </c>
      <c r="E26" s="30">
        <f t="shared" si="5"/>
        <v>88.888888888888886</v>
      </c>
      <c r="F26" s="30">
        <f t="shared" si="5"/>
        <v>77.777777777777786</v>
      </c>
      <c r="G26" s="30">
        <f t="shared" si="5"/>
        <v>77.777777777777786</v>
      </c>
      <c r="H26" s="30">
        <f t="shared" si="5"/>
        <v>66.666666666666657</v>
      </c>
      <c r="I26" s="30">
        <f t="shared" si="5"/>
        <v>27.777777777777779</v>
      </c>
      <c r="J26" s="30">
        <f t="shared" si="5"/>
        <v>72.222222222222214</v>
      </c>
      <c r="K26" s="30">
        <f t="shared" si="5"/>
        <v>55.555555555555557</v>
      </c>
      <c r="L26" s="30">
        <f t="shared" si="5"/>
        <v>44.444444444444443</v>
      </c>
      <c r="M26" s="30">
        <f t="shared" si="5"/>
        <v>55.555555555555557</v>
      </c>
      <c r="N26" s="30">
        <f t="shared" si="5"/>
        <v>44.444444444444443</v>
      </c>
      <c r="O26" s="30">
        <f t="shared" si="5"/>
        <v>72.222222222222214</v>
      </c>
      <c r="P26" s="30">
        <f t="shared" si="5"/>
        <v>33.333333333333329</v>
      </c>
      <c r="Q26" s="30">
        <f t="shared" si="5"/>
        <v>55.555555555555557</v>
      </c>
      <c r="R26" s="30">
        <f t="shared" si="5"/>
        <v>33.333333333333329</v>
      </c>
      <c r="S26" s="30">
        <f t="shared" si="5"/>
        <v>61.111111111111114</v>
      </c>
      <c r="T26" s="30">
        <f t="shared" si="5"/>
        <v>44.444444444444443</v>
      </c>
      <c r="U26" s="30">
        <f t="shared" si="5"/>
        <v>38.888888888888893</v>
      </c>
      <c r="V26" s="30">
        <f t="shared" si="5"/>
        <v>100</v>
      </c>
      <c r="W26" s="30">
        <f t="shared" si="5"/>
        <v>66.666666666666657</v>
      </c>
      <c r="X26" s="30">
        <f t="shared" si="5"/>
        <v>66.666666666666657</v>
      </c>
      <c r="Y26" s="30">
        <f t="shared" si="5"/>
        <v>55.555555555555557</v>
      </c>
      <c r="Z26" s="30">
        <f t="shared" si="5"/>
        <v>55.555555555555557</v>
      </c>
      <c r="AA26" s="30">
        <f t="shared" si="5"/>
        <v>77.777777777777786</v>
      </c>
      <c r="AB26" s="30">
        <f t="shared" si="5"/>
        <v>66.666666666666657</v>
      </c>
      <c r="AC26" s="30">
        <f t="shared" si="5"/>
        <v>44.444444444444443</v>
      </c>
      <c r="AD26" s="30">
        <f t="shared" si="5"/>
        <v>55.555555555555557</v>
      </c>
      <c r="AE26" s="30">
        <f t="shared" si="5"/>
        <v>22.222222222222221</v>
      </c>
      <c r="AF26" s="3"/>
      <c r="AG26" s="19"/>
      <c r="AH26" s="19"/>
      <c r="AI26" s="19"/>
    </row>
    <row r="27" spans="1:35" ht="27.6" thickTop="1" thickBot="1" x14ac:dyDescent="0.75">
      <c r="A27" s="61" t="s">
        <v>110</v>
      </c>
      <c r="B27" s="62"/>
      <c r="C27" s="30" t="str">
        <f>IF(C26&gt;70,"مستوى متميز",IF(C26&gt;60,"مستوى جيد",IF(C26&gt;50,"مستوى ملائم",IF(C26&gt;=40,"مستوى غير ملائم"," يحتاج الى تدخل سريع"))))</f>
        <v>مستوى جيد</v>
      </c>
      <c r="D27" s="30" t="str">
        <f t="shared" ref="D27:AE27" si="6">IF(D26&gt;70,"مستوى متميز",IF(D26&gt;60,"مستوى جيد",IF(D26&gt;50,"مستوى ملائم",IF(D26&gt;=40,"مستوى غير ملائم"," يحتاج الى تدخل سريع"))))</f>
        <v xml:space="preserve"> يحتاج الى تدخل سريع</v>
      </c>
      <c r="E27" s="30" t="str">
        <f t="shared" si="6"/>
        <v>مستوى متميز</v>
      </c>
      <c r="F27" s="30" t="str">
        <f t="shared" si="6"/>
        <v>مستوى متميز</v>
      </c>
      <c r="G27" s="30" t="str">
        <f t="shared" si="6"/>
        <v>مستوى متميز</v>
      </c>
      <c r="H27" s="30" t="str">
        <f t="shared" si="6"/>
        <v>مستوى جيد</v>
      </c>
      <c r="I27" s="30" t="str">
        <f t="shared" si="6"/>
        <v xml:space="preserve"> يحتاج الى تدخل سريع</v>
      </c>
      <c r="J27" s="30" t="str">
        <f t="shared" si="6"/>
        <v>مستوى متميز</v>
      </c>
      <c r="K27" s="30" t="str">
        <f t="shared" si="6"/>
        <v>مستوى ملائم</v>
      </c>
      <c r="L27" s="30" t="str">
        <f t="shared" si="6"/>
        <v>مستوى غير ملائم</v>
      </c>
      <c r="M27" s="30" t="str">
        <f t="shared" si="6"/>
        <v>مستوى ملائم</v>
      </c>
      <c r="N27" s="30" t="str">
        <f t="shared" si="6"/>
        <v>مستوى غير ملائم</v>
      </c>
      <c r="O27" s="30" t="str">
        <f t="shared" si="6"/>
        <v>مستوى متميز</v>
      </c>
      <c r="P27" s="30" t="str">
        <f t="shared" si="6"/>
        <v xml:space="preserve"> يحتاج الى تدخل سريع</v>
      </c>
      <c r="Q27" s="30" t="str">
        <f t="shared" si="6"/>
        <v>مستوى ملائم</v>
      </c>
      <c r="R27" s="30" t="str">
        <f t="shared" si="6"/>
        <v xml:space="preserve"> يحتاج الى تدخل سريع</v>
      </c>
      <c r="S27" s="30" t="str">
        <f t="shared" si="6"/>
        <v>مستوى جيد</v>
      </c>
      <c r="T27" s="30" t="str">
        <f t="shared" si="6"/>
        <v>مستوى غير ملائم</v>
      </c>
      <c r="U27" s="30" t="str">
        <f t="shared" si="6"/>
        <v xml:space="preserve"> يحتاج الى تدخل سريع</v>
      </c>
      <c r="V27" s="30" t="str">
        <f t="shared" si="6"/>
        <v>مستوى متميز</v>
      </c>
      <c r="W27" s="30" t="str">
        <f t="shared" si="6"/>
        <v>مستوى جيد</v>
      </c>
      <c r="X27" s="30" t="str">
        <f t="shared" si="6"/>
        <v>مستوى جيد</v>
      </c>
      <c r="Y27" s="30" t="str">
        <f t="shared" si="6"/>
        <v>مستوى ملائم</v>
      </c>
      <c r="Z27" s="30" t="str">
        <f t="shared" si="6"/>
        <v>مستوى ملائم</v>
      </c>
      <c r="AA27" s="30" t="str">
        <f t="shared" si="6"/>
        <v>مستوى متميز</v>
      </c>
      <c r="AB27" s="30" t="str">
        <f t="shared" si="6"/>
        <v>مستوى جيد</v>
      </c>
      <c r="AC27" s="30" t="str">
        <f t="shared" si="6"/>
        <v>مستوى غير ملائم</v>
      </c>
      <c r="AD27" s="30" t="str">
        <f t="shared" si="6"/>
        <v>مستوى ملائم</v>
      </c>
      <c r="AE27" s="30" t="str">
        <f t="shared" si="6"/>
        <v xml:space="preserve"> يحتاج الى تدخل سريع</v>
      </c>
    </row>
    <row r="28" spans="1:35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29" priority="8" operator="between">
      <formula>1</formula>
      <formula>5</formula>
    </cfRule>
    <cfRule type="cellIs" dxfId="128" priority="9" operator="lessThan">
      <formula>1</formula>
    </cfRule>
    <cfRule type="containsText" dxfId="127" priority="10" operator="containsText" text="0">
      <formula>NOT(ISERROR(SEARCH("0",C5)))</formula>
    </cfRule>
    <cfRule type="containsText" dxfId="126" priority="11" operator="containsText" text="0">
      <formula>NOT(ISERROR(SEARCH("0",C5)))</formula>
    </cfRule>
    <cfRule type="containsText" dxfId="125" priority="12" operator="containsText" text="1">
      <formula>NOT(ISERROR(SEARCH("1",C5)))</formula>
    </cfRule>
    <cfRule type="containsText" dxfId="124" priority="13" operator="containsText" text="0">
      <formula>NOT(ISERROR(SEARCH("0",C5)))</formula>
    </cfRule>
  </conditionalFormatting>
  <conditionalFormatting sqref="C26:AE26">
    <cfRule type="cellIs" dxfId="123" priority="1" operator="between">
      <formula>40</formula>
      <formula>50</formula>
    </cfRule>
    <cfRule type="cellIs" dxfId="122" priority="3" operator="greaterThan">
      <formula>70</formula>
    </cfRule>
    <cfRule type="cellIs" dxfId="121" priority="4" operator="between">
      <formula>60</formula>
      <formula>70</formula>
    </cfRule>
    <cfRule type="cellIs" dxfId="120" priority="5" operator="lessThan">
      <formula>40</formula>
    </cfRule>
    <cfRule type="cellIs" dxfId="119" priority="6" operator="between">
      <formula>50</formula>
      <formula>60</formula>
    </cfRule>
  </conditionalFormatting>
  <conditionalFormatting sqref="C27:AE27">
    <cfRule type="cellIs" dxfId="118" priority="7" operator="between">
      <formula>70</formula>
      <formula>100</formula>
    </cfRule>
  </conditionalFormatting>
  <conditionalFormatting sqref="AM6:AP6">
    <cfRule type="expression" dxfId="11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0106-BFC0-4031-8612-2CD89A6B43A0}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31" width="10.296875" bestFit="1" customWidth="1"/>
    <col min="32" max="34" width="10.296875" customWidth="1"/>
    <col min="35" max="35" width="10.296875" bestFit="1" customWidth="1"/>
    <col min="36" max="36" width="13" customWidth="1"/>
    <col min="37" max="37" width="14.59765625" customWidth="1"/>
    <col min="38" max="38" width="20.09765625" customWidth="1"/>
    <col min="39" max="39" width="16.296875" customWidth="1"/>
    <col min="40" max="40" width="9.09765625" customWidth="1"/>
    <col min="41" max="41" width="0.296875" customWidth="1"/>
    <col min="42" max="42" width="16.69921875" customWidth="1"/>
    <col min="43" max="43" width="16" customWidth="1"/>
    <col min="44" max="44" width="15.296875" customWidth="1"/>
    <col min="45" max="45" width="15.59765625" customWidth="1"/>
    <col min="46" max="46" width="16" customWidth="1"/>
  </cols>
  <sheetData>
    <row r="3" spans="1:46" ht="50.25" customHeight="1" x14ac:dyDescent="0.25">
      <c r="A3" s="57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 x14ac:dyDescent="0.25">
      <c r="A4" s="58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7" thickBot="1" x14ac:dyDescent="0.75">
      <c r="A25" s="59" t="s">
        <v>19</v>
      </c>
      <c r="B25" s="60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 x14ac:dyDescent="0.75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7.6" thickTop="1" thickBot="1" x14ac:dyDescent="0.75">
      <c r="A27" s="61" t="s">
        <v>110</v>
      </c>
      <c r="B27" s="62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6" priority="8" operator="between">
      <formula>1</formula>
      <formula>5</formula>
    </cfRule>
    <cfRule type="cellIs" dxfId="115" priority="9" operator="lessThan">
      <formula>1</formula>
    </cfRule>
    <cfRule type="containsText" dxfId="114" priority="10" operator="containsText" text="0">
      <formula>NOT(ISERROR(SEARCH("0",C5)))</formula>
    </cfRule>
    <cfRule type="containsText" dxfId="113" priority="11" operator="containsText" text="0">
      <formula>NOT(ISERROR(SEARCH("0",C5)))</formula>
    </cfRule>
    <cfRule type="containsText" dxfId="112" priority="12" operator="containsText" text="1">
      <formula>NOT(ISERROR(SEARCH("1",C5)))</formula>
    </cfRule>
    <cfRule type="containsText" dxfId="111" priority="13" operator="containsText" text="0">
      <formula>NOT(ISERROR(SEARCH("0",C5)))</formula>
    </cfRule>
  </conditionalFormatting>
  <conditionalFormatting sqref="C27:AI27">
    <cfRule type="cellIs" dxfId="110" priority="7" operator="between">
      <formula>70</formula>
      <formula>100</formula>
    </cfRule>
  </conditionalFormatting>
  <conditionalFormatting sqref="C26:AJ26">
    <cfRule type="cellIs" dxfId="109" priority="1" operator="between">
      <formula>40</formula>
      <formula>50</formula>
    </cfRule>
    <cfRule type="cellIs" dxfId="108" priority="3" operator="greaterThan">
      <formula>70</formula>
    </cfRule>
    <cfRule type="cellIs" dxfId="107" priority="4" operator="between">
      <formula>60</formula>
      <formula>70</formula>
    </cfRule>
    <cfRule type="cellIs" dxfId="106" priority="5" operator="lessThan">
      <formula>40</formula>
    </cfRule>
    <cfRule type="cellIs" dxfId="105" priority="6" operator="between">
      <formula>50</formula>
      <formula>60</formula>
    </cfRule>
  </conditionalFormatting>
  <conditionalFormatting sqref="AQ6:AT6">
    <cfRule type="expression" dxfId="10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C2FF-F1D6-4A9C-BA7C-3DB0D5CF5268}">
  <sheetPr>
    <tabColor rgb="FFFFC000"/>
  </sheetPr>
  <dimension ref="A3:AR53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V13" sqref="V13"/>
    </sheetView>
  </sheetViews>
  <sheetFormatPr defaultRowHeight="13.8" x14ac:dyDescent="0.25"/>
  <cols>
    <col min="1" max="1" width="4" style="2" customWidth="1"/>
    <col min="2" max="2" width="28.8984375" style="2" customWidth="1"/>
    <col min="3" max="3" width="8.8984375" customWidth="1"/>
    <col min="4" max="4" width="8.296875" customWidth="1"/>
    <col min="5" max="5" width="7.59765625" customWidth="1"/>
    <col min="6" max="6" width="6.5" customWidth="1"/>
    <col min="7" max="7" width="8.09765625" customWidth="1"/>
    <col min="8" max="8" width="7.5" customWidth="1"/>
    <col min="9" max="10" width="7" customWidth="1"/>
    <col min="11" max="11" width="9.19921875" customWidth="1"/>
    <col min="12" max="12" width="7.296875" customWidth="1"/>
    <col min="13" max="13" width="9" customWidth="1"/>
    <col min="14" max="14" width="7" customWidth="1"/>
    <col min="15" max="15" width="7.296875" customWidth="1"/>
    <col min="16" max="16" width="6.796875" customWidth="1"/>
    <col min="17" max="17" width="7.09765625" customWidth="1"/>
    <col min="18" max="18" width="8.3984375" customWidth="1"/>
    <col min="19" max="19" width="8" customWidth="1"/>
    <col min="20" max="20" width="8.8984375" customWidth="1"/>
    <col min="21" max="21" width="8.5" customWidth="1"/>
    <col min="22" max="22" width="9" customWidth="1"/>
    <col min="23" max="24" width="8.09765625" customWidth="1"/>
    <col min="25" max="25" width="10.59765625" customWidth="1"/>
    <col min="26" max="26" width="7.296875" customWidth="1"/>
    <col min="27" max="27" width="9.796875" customWidth="1"/>
    <col min="28" max="28" width="9.5" customWidth="1"/>
    <col min="29" max="29" width="10.796875" customWidth="1"/>
    <col min="30" max="31" width="9.796875" customWidth="1"/>
    <col min="32" max="32" width="9.5" customWidth="1"/>
    <col min="33" max="33" width="12.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7" t="s">
        <v>2</v>
      </c>
      <c r="B3" s="21" t="s">
        <v>17</v>
      </c>
      <c r="C3" s="8" t="s">
        <v>52</v>
      </c>
      <c r="D3" s="8" t="s">
        <v>127</v>
      </c>
      <c r="E3" s="8" t="s">
        <v>76</v>
      </c>
      <c r="F3" s="8">
        <v>3</v>
      </c>
      <c r="G3" s="8">
        <v>4</v>
      </c>
      <c r="H3" s="8">
        <v>5</v>
      </c>
      <c r="I3" s="8">
        <v>6</v>
      </c>
      <c r="J3" s="8" t="s">
        <v>128</v>
      </c>
      <c r="K3" s="8" t="s">
        <v>86</v>
      </c>
      <c r="L3" s="8">
        <v>8</v>
      </c>
      <c r="M3" s="8" t="s">
        <v>129</v>
      </c>
      <c r="N3" s="8" t="s">
        <v>25</v>
      </c>
      <c r="O3" s="8">
        <v>10</v>
      </c>
      <c r="P3" s="8">
        <v>11</v>
      </c>
      <c r="Q3" s="8" t="s">
        <v>130</v>
      </c>
      <c r="R3" s="8" t="s">
        <v>23</v>
      </c>
      <c r="S3" s="8">
        <v>13</v>
      </c>
      <c r="T3" s="8" t="s">
        <v>131</v>
      </c>
      <c r="U3" s="8" t="s">
        <v>80</v>
      </c>
      <c r="V3" s="8">
        <v>15</v>
      </c>
      <c r="W3" s="8">
        <v>16</v>
      </c>
      <c r="X3" s="8" t="s">
        <v>132</v>
      </c>
      <c r="Y3" s="8" t="s">
        <v>133</v>
      </c>
      <c r="Z3" s="8">
        <v>18</v>
      </c>
      <c r="AA3" s="8">
        <v>19</v>
      </c>
      <c r="AB3" s="8">
        <v>20</v>
      </c>
      <c r="AC3" s="8">
        <v>21</v>
      </c>
      <c r="AD3" s="8">
        <v>22</v>
      </c>
      <c r="AE3" s="8">
        <v>23</v>
      </c>
      <c r="AF3" s="8" t="s">
        <v>134</v>
      </c>
      <c r="AG3" s="8" t="s">
        <v>63</v>
      </c>
      <c r="AH3" s="24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8"/>
      <c r="B4" s="20" t="s">
        <v>18</v>
      </c>
      <c r="C4" s="11">
        <v>1</v>
      </c>
      <c r="D4" s="11">
        <v>1</v>
      </c>
      <c r="E4" s="10">
        <v>1</v>
      </c>
      <c r="F4" s="11">
        <v>1</v>
      </c>
      <c r="G4" s="14">
        <v>1</v>
      </c>
      <c r="H4" s="14">
        <v>2</v>
      </c>
      <c r="I4" s="10">
        <v>2</v>
      </c>
      <c r="J4" s="11">
        <v>1</v>
      </c>
      <c r="K4" s="10">
        <v>1</v>
      </c>
      <c r="L4" s="11">
        <v>1</v>
      </c>
      <c r="M4" s="14">
        <v>2</v>
      </c>
      <c r="N4" s="11">
        <v>1</v>
      </c>
      <c r="O4" s="15">
        <v>2</v>
      </c>
      <c r="P4" s="13">
        <v>1</v>
      </c>
      <c r="Q4" s="12">
        <v>1</v>
      </c>
      <c r="R4" s="13">
        <v>1</v>
      </c>
      <c r="S4" s="12">
        <v>2</v>
      </c>
      <c r="T4" s="13">
        <v>1</v>
      </c>
      <c r="U4" s="12">
        <v>1</v>
      </c>
      <c r="V4" s="12">
        <v>2</v>
      </c>
      <c r="W4" s="15">
        <v>1</v>
      </c>
      <c r="X4" s="13">
        <v>1</v>
      </c>
      <c r="Y4" s="12">
        <v>1</v>
      </c>
      <c r="Z4" s="13">
        <v>2</v>
      </c>
      <c r="AA4" s="13">
        <v>1</v>
      </c>
      <c r="AB4" s="12">
        <v>2</v>
      </c>
      <c r="AC4" s="31">
        <v>1</v>
      </c>
      <c r="AD4" s="25">
        <v>1</v>
      </c>
      <c r="AE4" s="26">
        <v>2</v>
      </c>
      <c r="AF4" s="25">
        <v>1</v>
      </c>
      <c r="AG4" s="31">
        <v>1</v>
      </c>
      <c r="AH4" s="26">
        <f>SUM(C4:AG4)</f>
        <v>40</v>
      </c>
      <c r="AI4" s="14" t="e">
        <f>#REF!+AG4+AC4+W4+O4+M4+H4+G4</f>
        <v>#REF!</v>
      </c>
      <c r="AJ4" s="11">
        <f t="shared" ref="AJ4:AJ19" si="0">AF4+AD4+AA4+Z4+X4+T4+R4+P4+N4+L4+J4+F4+D4+C4</f>
        <v>15</v>
      </c>
      <c r="AK4" s="10" t="e">
        <f>#REF!+AE4+AB4+Y4+V4+U4+S4+Q4+K4+I4+E4</f>
        <v>#REF!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55" t="s">
        <v>135</v>
      </c>
      <c r="C5" s="3">
        <v>1</v>
      </c>
      <c r="D5" s="3">
        <v>1</v>
      </c>
      <c r="E5" s="3">
        <v>0</v>
      </c>
      <c r="F5" s="3">
        <v>1</v>
      </c>
      <c r="G5" s="3">
        <v>1</v>
      </c>
      <c r="H5" s="3">
        <v>2</v>
      </c>
      <c r="I5" s="3">
        <v>2</v>
      </c>
      <c r="J5" s="3">
        <v>1</v>
      </c>
      <c r="K5" s="3">
        <v>0</v>
      </c>
      <c r="L5" s="3">
        <v>1</v>
      </c>
      <c r="M5" s="3">
        <v>2</v>
      </c>
      <c r="N5" s="3">
        <v>1</v>
      </c>
      <c r="O5" s="3">
        <v>2</v>
      </c>
      <c r="P5" s="3">
        <v>1</v>
      </c>
      <c r="Q5" s="3">
        <v>0</v>
      </c>
      <c r="R5" s="3">
        <v>1</v>
      </c>
      <c r="S5" s="3">
        <v>0</v>
      </c>
      <c r="T5" s="3">
        <v>1</v>
      </c>
      <c r="U5" s="3">
        <v>1</v>
      </c>
      <c r="V5" s="3">
        <v>0</v>
      </c>
      <c r="W5" s="9">
        <v>1</v>
      </c>
      <c r="X5" s="9">
        <v>0</v>
      </c>
      <c r="Y5" s="9">
        <v>0</v>
      </c>
      <c r="Z5" s="9">
        <v>0</v>
      </c>
      <c r="AA5" s="9">
        <v>1</v>
      </c>
      <c r="AB5" s="9">
        <v>2</v>
      </c>
      <c r="AC5" s="9">
        <v>1</v>
      </c>
      <c r="AD5" s="9">
        <v>0</v>
      </c>
      <c r="AE5" s="9">
        <v>1</v>
      </c>
      <c r="AF5" s="9">
        <v>0</v>
      </c>
      <c r="AG5" s="9">
        <v>0</v>
      </c>
      <c r="AH5" s="26">
        <f>SUM(C5:AG5)</f>
        <v>25</v>
      </c>
      <c r="AI5" s="14" t="e">
        <f>#REF!+AG5+AC5+W5+O5+M5+H5+G5</f>
        <v>#REF!</v>
      </c>
      <c r="AJ5" s="11">
        <f t="shared" si="0"/>
        <v>10</v>
      </c>
      <c r="AK5" s="10" t="e">
        <f>#REF!+AE5+AB5+Y5+V5+U5+S5+Q5+K5+I5+E5</f>
        <v>#REF!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55" t="s">
        <v>136</v>
      </c>
      <c r="C6" s="3">
        <v>1</v>
      </c>
      <c r="D6" s="3">
        <v>1</v>
      </c>
      <c r="E6" s="3">
        <v>0</v>
      </c>
      <c r="F6" s="3">
        <v>1</v>
      </c>
      <c r="G6" s="3">
        <v>1</v>
      </c>
      <c r="H6" s="3">
        <v>2</v>
      </c>
      <c r="I6" s="3">
        <v>2</v>
      </c>
      <c r="J6" s="3">
        <v>1</v>
      </c>
      <c r="K6" s="3">
        <v>1</v>
      </c>
      <c r="L6" s="3">
        <v>0</v>
      </c>
      <c r="M6" s="3">
        <v>2</v>
      </c>
      <c r="N6" s="3">
        <v>0</v>
      </c>
      <c r="O6" s="3">
        <v>2</v>
      </c>
      <c r="P6" s="3">
        <v>1</v>
      </c>
      <c r="Q6" s="3">
        <v>0</v>
      </c>
      <c r="R6" s="3">
        <v>1</v>
      </c>
      <c r="S6" s="3">
        <v>2</v>
      </c>
      <c r="T6" s="3">
        <v>0</v>
      </c>
      <c r="U6" s="3">
        <v>1</v>
      </c>
      <c r="V6" s="3">
        <v>1</v>
      </c>
      <c r="W6" s="9">
        <v>0</v>
      </c>
      <c r="X6" s="9">
        <v>1</v>
      </c>
      <c r="Y6" s="9">
        <v>1</v>
      </c>
      <c r="Z6" s="9">
        <v>2</v>
      </c>
      <c r="AA6" s="9">
        <v>1</v>
      </c>
      <c r="AB6" s="9">
        <v>2</v>
      </c>
      <c r="AC6" s="9">
        <v>0</v>
      </c>
      <c r="AD6" s="9">
        <v>0</v>
      </c>
      <c r="AE6" s="9">
        <v>1</v>
      </c>
      <c r="AF6" s="9">
        <v>0</v>
      </c>
      <c r="AG6" s="9">
        <v>1</v>
      </c>
      <c r="AH6" s="26">
        <v>29</v>
      </c>
      <c r="AI6" s="14" t="e">
        <f>#REF!+AG6+AC6+W6+O6+M6+H6+G6</f>
        <v>#REF!</v>
      </c>
      <c r="AJ6" s="11">
        <f t="shared" si="0"/>
        <v>10</v>
      </c>
      <c r="AK6" s="10" t="e">
        <f>#REF!+AE6+AB6+Y6+V6+U6+S6+Q6+K6+I6+E6</f>
        <v>#REF!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55" t="s">
        <v>137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2</v>
      </c>
      <c r="I7" s="3">
        <v>2</v>
      </c>
      <c r="J7" s="3">
        <v>1</v>
      </c>
      <c r="K7" s="3">
        <v>1</v>
      </c>
      <c r="L7" s="3">
        <v>1</v>
      </c>
      <c r="M7" s="3">
        <v>2</v>
      </c>
      <c r="N7" s="3">
        <v>1</v>
      </c>
      <c r="O7" s="3">
        <v>2</v>
      </c>
      <c r="P7" s="3">
        <v>1</v>
      </c>
      <c r="Q7" s="3">
        <v>1</v>
      </c>
      <c r="R7" s="3">
        <v>1</v>
      </c>
      <c r="S7" s="3">
        <v>2</v>
      </c>
      <c r="T7" s="3">
        <v>1</v>
      </c>
      <c r="U7" s="3">
        <v>1</v>
      </c>
      <c r="V7" s="3">
        <v>2</v>
      </c>
      <c r="W7" s="9">
        <v>1</v>
      </c>
      <c r="X7" s="9">
        <v>1</v>
      </c>
      <c r="Y7" s="9">
        <v>1</v>
      </c>
      <c r="Z7" s="9">
        <v>2</v>
      </c>
      <c r="AA7" s="9">
        <v>1</v>
      </c>
      <c r="AB7" s="9">
        <v>2</v>
      </c>
      <c r="AC7" s="9">
        <v>1</v>
      </c>
      <c r="AD7" s="9">
        <v>1</v>
      </c>
      <c r="AE7" s="9">
        <v>2</v>
      </c>
      <c r="AF7" s="9">
        <v>1</v>
      </c>
      <c r="AG7" s="9">
        <v>1</v>
      </c>
      <c r="AH7" s="26">
        <f t="shared" ref="AH7:AH19" si="1">SUM(C7:AG7)</f>
        <v>40</v>
      </c>
      <c r="AI7" s="14" t="e">
        <f>#REF!+AG7+AC7+W7+O7+M7+H7+G7</f>
        <v>#REF!</v>
      </c>
      <c r="AJ7" s="11">
        <f t="shared" si="0"/>
        <v>15</v>
      </c>
      <c r="AK7" s="10" t="e">
        <f>#REF!+AE7+AB7+Y7+V7+U7+S7+Q7+K7+I7+E7</f>
        <v>#REF!</v>
      </c>
    </row>
    <row r="8" spans="1:44" ht="26.4" x14ac:dyDescent="0.7">
      <c r="A8" s="5">
        <v>4</v>
      </c>
      <c r="B8" s="55" t="s">
        <v>138</v>
      </c>
      <c r="C8" s="3">
        <v>1</v>
      </c>
      <c r="D8" s="3">
        <v>1</v>
      </c>
      <c r="E8" s="3">
        <v>0</v>
      </c>
      <c r="F8" s="3">
        <v>1</v>
      </c>
      <c r="G8" s="3">
        <v>0</v>
      </c>
      <c r="H8" s="3">
        <v>2</v>
      </c>
      <c r="I8" s="3">
        <v>2</v>
      </c>
      <c r="J8" s="3">
        <v>1</v>
      </c>
      <c r="K8" s="3">
        <v>0</v>
      </c>
      <c r="L8" s="3">
        <v>0</v>
      </c>
      <c r="M8" s="3">
        <v>2</v>
      </c>
      <c r="N8" s="3">
        <v>0</v>
      </c>
      <c r="O8" s="3">
        <v>1</v>
      </c>
      <c r="P8" s="3">
        <v>0</v>
      </c>
      <c r="Q8" s="3">
        <v>1</v>
      </c>
      <c r="R8" s="3">
        <v>0</v>
      </c>
      <c r="S8" s="3">
        <v>2</v>
      </c>
      <c r="T8" s="3">
        <v>1</v>
      </c>
      <c r="U8" s="3">
        <v>1</v>
      </c>
      <c r="V8" s="3">
        <v>2</v>
      </c>
      <c r="W8" s="9">
        <v>1</v>
      </c>
      <c r="X8" s="9">
        <v>0</v>
      </c>
      <c r="Y8" s="9">
        <v>1</v>
      </c>
      <c r="Z8" s="9">
        <v>2</v>
      </c>
      <c r="AA8" s="9">
        <v>0</v>
      </c>
      <c r="AB8" s="9">
        <v>1</v>
      </c>
      <c r="AC8" s="9">
        <v>0</v>
      </c>
      <c r="AD8" s="9">
        <v>0</v>
      </c>
      <c r="AE8" s="9">
        <v>1</v>
      </c>
      <c r="AF8" s="9">
        <v>1</v>
      </c>
      <c r="AG8" s="9">
        <v>0</v>
      </c>
      <c r="AH8" s="26">
        <f t="shared" si="1"/>
        <v>25</v>
      </c>
      <c r="AI8" s="14" t="e">
        <f>#REF!+AG8+AC8+W8+O8+M8+H8+G8</f>
        <v>#REF!</v>
      </c>
      <c r="AJ8" s="11">
        <f t="shared" si="0"/>
        <v>8</v>
      </c>
      <c r="AK8" s="10" t="e">
        <f>#REF!+AE8+AB8+Y8+V8+U8+S8+Q8+K8+I8+E8</f>
        <v>#REF!</v>
      </c>
    </row>
    <row r="9" spans="1:44" ht="26.4" x14ac:dyDescent="0.7">
      <c r="A9" s="5">
        <v>5</v>
      </c>
      <c r="B9" s="55" t="s">
        <v>139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2</v>
      </c>
      <c r="I9" s="3">
        <v>2</v>
      </c>
      <c r="J9" s="3">
        <v>1</v>
      </c>
      <c r="K9" s="3">
        <v>1</v>
      </c>
      <c r="L9" s="3">
        <v>1</v>
      </c>
      <c r="M9" s="3">
        <v>2</v>
      </c>
      <c r="N9" s="3">
        <v>1</v>
      </c>
      <c r="O9" s="3">
        <v>2</v>
      </c>
      <c r="P9" s="3">
        <v>1</v>
      </c>
      <c r="Q9" s="3">
        <v>1</v>
      </c>
      <c r="R9" s="3">
        <v>1</v>
      </c>
      <c r="S9" s="3">
        <v>2</v>
      </c>
      <c r="T9" s="3">
        <v>1</v>
      </c>
      <c r="U9" s="3">
        <v>1</v>
      </c>
      <c r="V9" s="3">
        <v>2</v>
      </c>
      <c r="W9" s="9">
        <v>1</v>
      </c>
      <c r="X9" s="9">
        <v>1</v>
      </c>
      <c r="Y9" s="9">
        <v>1</v>
      </c>
      <c r="Z9" s="9">
        <v>2</v>
      </c>
      <c r="AA9" s="9">
        <v>1</v>
      </c>
      <c r="AB9" s="9">
        <v>2</v>
      </c>
      <c r="AC9" s="9">
        <v>1</v>
      </c>
      <c r="AD9" s="9">
        <v>1</v>
      </c>
      <c r="AE9" s="9">
        <v>2</v>
      </c>
      <c r="AF9" s="9">
        <v>1</v>
      </c>
      <c r="AG9" s="9">
        <v>1</v>
      </c>
      <c r="AH9" s="26">
        <f t="shared" si="1"/>
        <v>40</v>
      </c>
      <c r="AI9" s="14" t="e">
        <f>#REF!+AG9+AC9+W9+O9+M9+H9+G9</f>
        <v>#REF!</v>
      </c>
      <c r="AJ9" s="11">
        <f t="shared" si="0"/>
        <v>15</v>
      </c>
      <c r="AK9" s="10" t="e">
        <f>#REF!+AE9+AB9+Y9+V9+U9+S9+Q9+K9+I9+E9</f>
        <v>#REF!</v>
      </c>
    </row>
    <row r="10" spans="1:44" ht="26.4" x14ac:dyDescent="0.7">
      <c r="A10" s="5">
        <v>6</v>
      </c>
      <c r="B10" s="55" t="s">
        <v>140</v>
      </c>
      <c r="C10" s="3">
        <v>1</v>
      </c>
      <c r="D10" s="3">
        <v>1</v>
      </c>
      <c r="E10" s="3">
        <v>0</v>
      </c>
      <c r="F10" s="3">
        <v>1</v>
      </c>
      <c r="G10" s="3">
        <v>0</v>
      </c>
      <c r="H10" s="3">
        <v>0</v>
      </c>
      <c r="I10" s="3">
        <v>2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2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2</v>
      </c>
      <c r="W10" s="9">
        <v>1</v>
      </c>
      <c r="X10" s="9">
        <v>0</v>
      </c>
      <c r="Y10" s="9">
        <v>1</v>
      </c>
      <c r="Z10" s="9">
        <v>2</v>
      </c>
      <c r="AA10" s="9">
        <v>1</v>
      </c>
      <c r="AB10" s="9">
        <v>2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26">
        <f t="shared" si="1"/>
        <v>24</v>
      </c>
      <c r="AI10" s="14" t="e">
        <f>#REF!+AG10+AC10+W10+O10+M10+H10+G10</f>
        <v>#REF!</v>
      </c>
      <c r="AJ10" s="11">
        <f t="shared" si="0"/>
        <v>11</v>
      </c>
      <c r="AK10" s="10" t="e">
        <f>#REF!+AE10+AB10+Y10+V10+U10+S10+Q10+K10+I10+E10</f>
        <v>#REF!</v>
      </c>
    </row>
    <row r="11" spans="1:44" ht="26.4" x14ac:dyDescent="0.7">
      <c r="A11" s="5">
        <v>7</v>
      </c>
      <c r="B11" s="55" t="s">
        <v>141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2</v>
      </c>
      <c r="I11" s="3">
        <v>2</v>
      </c>
      <c r="J11" s="3">
        <v>1</v>
      </c>
      <c r="K11" s="3">
        <v>1</v>
      </c>
      <c r="L11" s="3">
        <v>1</v>
      </c>
      <c r="M11" s="3">
        <v>2</v>
      </c>
      <c r="N11" s="3">
        <v>1</v>
      </c>
      <c r="O11" s="3">
        <v>2</v>
      </c>
      <c r="P11" s="3">
        <v>1</v>
      </c>
      <c r="Q11" s="3">
        <v>1</v>
      </c>
      <c r="R11" s="3">
        <v>1</v>
      </c>
      <c r="S11" s="3">
        <v>2</v>
      </c>
      <c r="T11" s="3">
        <v>1</v>
      </c>
      <c r="U11" s="3">
        <v>1</v>
      </c>
      <c r="V11" s="3">
        <v>2</v>
      </c>
      <c r="W11" s="9">
        <v>1</v>
      </c>
      <c r="X11" s="9">
        <v>1</v>
      </c>
      <c r="Y11" s="9">
        <v>1</v>
      </c>
      <c r="Z11" s="9">
        <v>2</v>
      </c>
      <c r="AA11" s="9">
        <v>1</v>
      </c>
      <c r="AB11" s="9">
        <v>2</v>
      </c>
      <c r="AC11" s="9">
        <v>1</v>
      </c>
      <c r="AD11" s="9">
        <v>1</v>
      </c>
      <c r="AE11" s="9">
        <v>2</v>
      </c>
      <c r="AF11" s="9">
        <v>1</v>
      </c>
      <c r="AG11" s="9">
        <v>1</v>
      </c>
      <c r="AH11" s="26">
        <f t="shared" si="1"/>
        <v>40</v>
      </c>
      <c r="AI11" s="14" t="e">
        <f>#REF!+AG11+AC11+W11+O11+M11+H11+G11</f>
        <v>#REF!</v>
      </c>
      <c r="AJ11" s="11">
        <f t="shared" si="0"/>
        <v>15</v>
      </c>
      <c r="AK11" s="10" t="e">
        <f>#REF!+AE11+AB11+Y11+V11+U11+S11+Q11+K11+I11+E11</f>
        <v>#REF!</v>
      </c>
    </row>
    <row r="12" spans="1:44" ht="26.4" x14ac:dyDescent="0.7">
      <c r="A12" s="5">
        <v>8</v>
      </c>
      <c r="B12" s="55" t="s">
        <v>142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2</v>
      </c>
      <c r="I12" s="3">
        <v>2</v>
      </c>
      <c r="J12" s="3">
        <v>1</v>
      </c>
      <c r="K12" s="3">
        <v>1</v>
      </c>
      <c r="L12" s="3">
        <v>1</v>
      </c>
      <c r="M12" s="3">
        <v>0</v>
      </c>
      <c r="N12" s="3">
        <v>1</v>
      </c>
      <c r="O12" s="3">
        <v>2</v>
      </c>
      <c r="P12" s="3">
        <v>1</v>
      </c>
      <c r="Q12" s="3">
        <v>1</v>
      </c>
      <c r="R12" s="3">
        <v>1</v>
      </c>
      <c r="S12" s="3">
        <v>0</v>
      </c>
      <c r="T12" s="3">
        <v>1</v>
      </c>
      <c r="U12" s="3">
        <v>1</v>
      </c>
      <c r="V12" s="3">
        <v>2</v>
      </c>
      <c r="W12" s="9">
        <v>1</v>
      </c>
      <c r="X12" s="9">
        <v>0</v>
      </c>
      <c r="Y12" s="9">
        <v>0</v>
      </c>
      <c r="Z12" s="9">
        <v>2</v>
      </c>
      <c r="AA12" s="9">
        <v>0</v>
      </c>
      <c r="AB12" s="9">
        <v>2</v>
      </c>
      <c r="AC12" s="9">
        <v>1</v>
      </c>
      <c r="AD12" s="9">
        <v>1</v>
      </c>
      <c r="AE12" s="9">
        <v>0</v>
      </c>
      <c r="AF12" s="9">
        <v>0</v>
      </c>
      <c r="AG12" s="9">
        <v>1</v>
      </c>
      <c r="AH12" s="26">
        <f t="shared" si="1"/>
        <v>30</v>
      </c>
      <c r="AI12" s="14" t="e">
        <f>#REF!+AG12+AC12+W12+O12+M12+H12+G12</f>
        <v>#REF!</v>
      </c>
      <c r="AJ12" s="11">
        <f t="shared" si="0"/>
        <v>12</v>
      </c>
      <c r="AK12" s="10" t="e">
        <f>#REF!+AE12+AB12+Y12+V12+U12+S12+Q12+K12+I12+E12</f>
        <v>#REF!</v>
      </c>
    </row>
    <row r="13" spans="1:44" ht="26.4" x14ac:dyDescent="0.7">
      <c r="A13" s="5">
        <v>9</v>
      </c>
      <c r="B13" s="56" t="s">
        <v>143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2</v>
      </c>
      <c r="I13" s="3">
        <v>1</v>
      </c>
      <c r="J13" s="3">
        <v>1</v>
      </c>
      <c r="K13" s="3">
        <v>0</v>
      </c>
      <c r="L13" s="3">
        <v>1</v>
      </c>
      <c r="M13" s="3">
        <v>2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2</v>
      </c>
      <c r="T13" s="3">
        <v>1</v>
      </c>
      <c r="U13" s="3">
        <v>0</v>
      </c>
      <c r="V13" s="3">
        <v>1</v>
      </c>
      <c r="W13" s="9">
        <v>1</v>
      </c>
      <c r="X13" s="9">
        <v>1</v>
      </c>
      <c r="Y13" s="9">
        <v>0</v>
      </c>
      <c r="Z13" s="9">
        <v>2</v>
      </c>
      <c r="AA13" s="9">
        <v>1</v>
      </c>
      <c r="AB13" s="9">
        <v>2</v>
      </c>
      <c r="AC13" s="9">
        <v>1</v>
      </c>
      <c r="AD13" s="9">
        <v>1</v>
      </c>
      <c r="AE13" s="9">
        <v>1</v>
      </c>
      <c r="AF13" s="9">
        <v>0</v>
      </c>
      <c r="AG13" s="9">
        <v>1</v>
      </c>
      <c r="AH13" s="26">
        <f t="shared" si="1"/>
        <v>32</v>
      </c>
      <c r="AI13" s="14" t="e">
        <f>#REF!+AG13+AC13+W13+O13+M13+H13+G13</f>
        <v>#REF!</v>
      </c>
      <c r="AJ13" s="11">
        <f t="shared" si="0"/>
        <v>14</v>
      </c>
      <c r="AK13" s="10" t="e">
        <f>#REF!+AE13+AB13+Y13+V13+U13+S13+Q13+K13+I13+E13</f>
        <v>#REF!</v>
      </c>
    </row>
    <row r="14" spans="1:44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1"/>
        <v>0</v>
      </c>
      <c r="AI14" s="14" t="e">
        <f>#REF!+AG14+AC14+W14+O14+M14+H14+G14</f>
        <v>#REF!</v>
      </c>
      <c r="AJ14" s="11">
        <f t="shared" si="0"/>
        <v>0</v>
      </c>
      <c r="AK14" s="10" t="e">
        <f>#REF!+AE14+AB14+Y14+V14+U14+S14+Q14+K14+I14+E14</f>
        <v>#REF!</v>
      </c>
    </row>
    <row r="15" spans="1:44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1"/>
        <v>0</v>
      </c>
      <c r="AI15" s="14" t="e">
        <f>#REF!+AG15+AC15+W15+O15+M15+H15+G15</f>
        <v>#REF!</v>
      </c>
      <c r="AJ15" s="11">
        <f t="shared" si="0"/>
        <v>0</v>
      </c>
      <c r="AK15" s="10" t="e">
        <f>#REF!+AE15+AB15+Y15+V15+U15+S15+Q15+K15+I15+E15</f>
        <v>#REF!</v>
      </c>
    </row>
    <row r="16" spans="1:44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1"/>
        <v>0</v>
      </c>
      <c r="AI16" s="14" t="e">
        <f>#REF!+AG16+AC16+W16+O16+M16+H16+G16</f>
        <v>#REF!</v>
      </c>
      <c r="AJ16" s="11">
        <f t="shared" si="0"/>
        <v>0</v>
      </c>
      <c r="AK16" s="10" t="e">
        <f>#REF!+AE16+AB16+Y16+V16+U16+S16+Q16+K16+I16+E16</f>
        <v>#REF!</v>
      </c>
    </row>
    <row r="17" spans="1:37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1"/>
        <v>0</v>
      </c>
      <c r="AI17" s="14" t="e">
        <f>#REF!+AG17+AC17+W17+O17+M17+H17+G17</f>
        <v>#REF!</v>
      </c>
      <c r="AJ17" s="11">
        <f t="shared" si="0"/>
        <v>0</v>
      </c>
      <c r="AK17" s="10" t="e">
        <f>#REF!+AE17+AB17+Y17+V17+U17+S17+Q17+K17+I17+E17</f>
        <v>#REF!</v>
      </c>
    </row>
    <row r="18" spans="1:37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1"/>
        <v>0</v>
      </c>
      <c r="AI18" s="14" t="e">
        <f>#REF!+AG18+AC18+W18+O18+M18+H18+G18</f>
        <v>#REF!</v>
      </c>
      <c r="AJ18" s="11">
        <f t="shared" si="0"/>
        <v>0</v>
      </c>
      <c r="AK18" s="10" t="e">
        <f>#REF!+AE18+AB18+Y18+V18+U18+S18+Q18+K18+I18+E18</f>
        <v>#REF!</v>
      </c>
    </row>
    <row r="19" spans="1:37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1"/>
        <v>0</v>
      </c>
      <c r="AI19" s="14" t="e">
        <f>#REF!+AG19+AC19+W19+O19+M19+H19+G19</f>
        <v>#REF!</v>
      </c>
      <c r="AJ19" s="11">
        <f t="shared" si="0"/>
        <v>0</v>
      </c>
      <c r="AK19" s="10" t="e">
        <f>#REF!+AE19+AB19+Y19+V19+U19+S19+Q19+K19+I19+E19</f>
        <v>#REF!</v>
      </c>
    </row>
    <row r="20" spans="1:37" ht="27" thickBot="1" x14ac:dyDescent="0.75">
      <c r="A20" s="59" t="s">
        <v>19</v>
      </c>
      <c r="B20" s="60"/>
      <c r="C20" s="4">
        <f t="shared" ref="C20:AH20" si="2">AVERAGE(C5:C19)</f>
        <v>1</v>
      </c>
      <c r="D20" s="4">
        <f t="shared" si="2"/>
        <v>1</v>
      </c>
      <c r="E20" s="4">
        <f t="shared" si="2"/>
        <v>0.55555555555555558</v>
      </c>
      <c r="F20" s="4">
        <f t="shared" si="2"/>
        <v>1</v>
      </c>
      <c r="G20" s="4">
        <f t="shared" si="2"/>
        <v>0.77777777777777779</v>
      </c>
      <c r="H20" s="4">
        <f t="shared" si="2"/>
        <v>1.7777777777777777</v>
      </c>
      <c r="I20" s="4">
        <f t="shared" si="2"/>
        <v>1.8888888888888888</v>
      </c>
      <c r="J20" s="4">
        <f t="shared" si="2"/>
        <v>1</v>
      </c>
      <c r="K20" s="4">
        <f t="shared" si="2"/>
        <v>0.55555555555555558</v>
      </c>
      <c r="L20" s="4">
        <f t="shared" si="2"/>
        <v>0.66666666666666663</v>
      </c>
      <c r="M20" s="4">
        <f t="shared" si="2"/>
        <v>1.5555555555555556</v>
      </c>
      <c r="N20" s="4">
        <f t="shared" si="2"/>
        <v>0.77777777777777779</v>
      </c>
      <c r="O20" s="4">
        <f t="shared" si="2"/>
        <v>1.7777777777777777</v>
      </c>
      <c r="P20" s="4">
        <f t="shared" si="2"/>
        <v>0.77777777777777779</v>
      </c>
      <c r="Q20" s="4">
        <f t="shared" si="2"/>
        <v>0.66666666666666663</v>
      </c>
      <c r="R20" s="4">
        <f t="shared" si="2"/>
        <v>0.88888888888888884</v>
      </c>
      <c r="S20" s="4">
        <f t="shared" si="2"/>
        <v>1.3333333333333333</v>
      </c>
      <c r="T20" s="4">
        <f t="shared" si="2"/>
        <v>0.77777777777777779</v>
      </c>
      <c r="U20" s="4">
        <f t="shared" si="2"/>
        <v>0.77777777777777779</v>
      </c>
      <c r="V20" s="4">
        <f t="shared" si="2"/>
        <v>1.5555555555555556</v>
      </c>
      <c r="W20" s="4">
        <f t="shared" si="2"/>
        <v>0.88888888888888884</v>
      </c>
      <c r="X20" s="4">
        <f t="shared" si="2"/>
        <v>0.55555555555555558</v>
      </c>
      <c r="Y20" s="4">
        <f t="shared" si="2"/>
        <v>0.66666666666666663</v>
      </c>
      <c r="Z20" s="4">
        <f t="shared" si="2"/>
        <v>1.7777777777777777</v>
      </c>
      <c r="AA20" s="4">
        <f t="shared" si="2"/>
        <v>0.77777777777777779</v>
      </c>
      <c r="AB20" s="4">
        <f t="shared" si="2"/>
        <v>1.8888888888888888</v>
      </c>
      <c r="AC20" s="4">
        <f t="shared" si="2"/>
        <v>0.77777777777777779</v>
      </c>
      <c r="AD20" s="4">
        <f t="shared" si="2"/>
        <v>0.66666666666666663</v>
      </c>
      <c r="AE20" s="4">
        <f t="shared" si="2"/>
        <v>1.2222222222222223</v>
      </c>
      <c r="AF20" s="4">
        <f t="shared" si="2"/>
        <v>0.55555555555555558</v>
      </c>
      <c r="AG20" s="4">
        <f t="shared" si="2"/>
        <v>0.77777777777777779</v>
      </c>
      <c r="AH20" s="4">
        <f t="shared" si="2"/>
        <v>19</v>
      </c>
      <c r="AI20" s="19" t="e">
        <f>SUM(AI5:AI19)</f>
        <v>#REF!</v>
      </c>
      <c r="AJ20" s="19">
        <f>SUM(AJ5:AJ19)</f>
        <v>110</v>
      </c>
      <c r="AK20" s="19" t="e">
        <f>SUM(AK5:AK19)</f>
        <v>#REF!</v>
      </c>
    </row>
    <row r="21" spans="1:37" ht="51.75" customHeight="1" thickTop="1" thickBot="1" x14ac:dyDescent="0.75">
      <c r="A21" s="22"/>
      <c r="B21" s="23" t="s">
        <v>34</v>
      </c>
      <c r="C21" s="30">
        <f t="shared" ref="C21:AH21" si="3">C20/C4*100</f>
        <v>100</v>
      </c>
      <c r="D21" s="30">
        <f t="shared" si="3"/>
        <v>100</v>
      </c>
      <c r="E21" s="30">
        <f t="shared" si="3"/>
        <v>55.555555555555557</v>
      </c>
      <c r="F21" s="30">
        <f t="shared" si="3"/>
        <v>100</v>
      </c>
      <c r="G21" s="30">
        <f t="shared" si="3"/>
        <v>77.777777777777786</v>
      </c>
      <c r="H21" s="30">
        <f t="shared" si="3"/>
        <v>88.888888888888886</v>
      </c>
      <c r="I21" s="30">
        <f t="shared" si="3"/>
        <v>94.444444444444443</v>
      </c>
      <c r="J21" s="30">
        <f t="shared" si="3"/>
        <v>100</v>
      </c>
      <c r="K21" s="30">
        <f t="shared" si="3"/>
        <v>55.555555555555557</v>
      </c>
      <c r="L21" s="30">
        <f t="shared" si="3"/>
        <v>66.666666666666657</v>
      </c>
      <c r="M21" s="30">
        <f t="shared" si="3"/>
        <v>77.777777777777786</v>
      </c>
      <c r="N21" s="30">
        <f t="shared" si="3"/>
        <v>77.777777777777786</v>
      </c>
      <c r="O21" s="30">
        <f t="shared" si="3"/>
        <v>88.888888888888886</v>
      </c>
      <c r="P21" s="30">
        <f t="shared" si="3"/>
        <v>77.777777777777786</v>
      </c>
      <c r="Q21" s="30">
        <f t="shared" si="3"/>
        <v>66.666666666666657</v>
      </c>
      <c r="R21" s="30">
        <f t="shared" si="3"/>
        <v>88.888888888888886</v>
      </c>
      <c r="S21" s="30">
        <f t="shared" si="3"/>
        <v>66.666666666666657</v>
      </c>
      <c r="T21" s="30">
        <f t="shared" si="3"/>
        <v>77.777777777777786</v>
      </c>
      <c r="U21" s="30">
        <f t="shared" si="3"/>
        <v>77.777777777777786</v>
      </c>
      <c r="V21" s="30">
        <f t="shared" si="3"/>
        <v>77.777777777777786</v>
      </c>
      <c r="W21" s="30">
        <f t="shared" si="3"/>
        <v>88.888888888888886</v>
      </c>
      <c r="X21" s="30">
        <f t="shared" si="3"/>
        <v>55.555555555555557</v>
      </c>
      <c r="Y21" s="30">
        <f t="shared" si="3"/>
        <v>66.666666666666657</v>
      </c>
      <c r="Z21" s="30">
        <f t="shared" si="3"/>
        <v>88.888888888888886</v>
      </c>
      <c r="AA21" s="30">
        <f t="shared" si="3"/>
        <v>77.777777777777786</v>
      </c>
      <c r="AB21" s="30">
        <f t="shared" si="3"/>
        <v>94.444444444444443</v>
      </c>
      <c r="AC21" s="30">
        <f t="shared" si="3"/>
        <v>77.777777777777786</v>
      </c>
      <c r="AD21" s="30">
        <f t="shared" si="3"/>
        <v>66.666666666666657</v>
      </c>
      <c r="AE21" s="30">
        <f t="shared" si="3"/>
        <v>61.111111111111114</v>
      </c>
      <c r="AF21" s="30">
        <f t="shared" si="3"/>
        <v>55.555555555555557</v>
      </c>
      <c r="AG21" s="30">
        <f t="shared" si="3"/>
        <v>77.777777777777786</v>
      </c>
      <c r="AH21" s="30">
        <f t="shared" si="3"/>
        <v>47.5</v>
      </c>
      <c r="AI21" s="19"/>
      <c r="AJ21" s="19"/>
      <c r="AK21" s="19"/>
    </row>
    <row r="22" spans="1:37" ht="27.6" thickTop="1" thickBot="1" x14ac:dyDescent="0.75">
      <c r="A22" s="61" t="s">
        <v>110</v>
      </c>
      <c r="B22" s="62"/>
      <c r="C22" s="30" t="str">
        <f>IF(C21&gt;70,"مستوى متميز",IF(C21&gt;60,"مستوى جيد",IF(C21&gt;50,"مستوى ملائم",IF(C21&gt;=40,"مستوى غير ملائم"," يحتاج الى تدخل سريع"))))</f>
        <v>مستوى متميز</v>
      </c>
      <c r="D22" s="30" t="str">
        <f t="shared" ref="D22:AH22" si="4">IF(D21&gt;70,"مستوى متميز",IF(D21&gt;60,"مستوى جيد",IF(D21&gt;50,"مستوى ملائم",IF(D21&gt;=40,"مستوى غير ملائم"," يحتاج الى تدخل سريع"))))</f>
        <v>مستوى متميز</v>
      </c>
      <c r="E22" s="30" t="str">
        <f t="shared" si="4"/>
        <v>مستوى ملائم</v>
      </c>
      <c r="F22" s="30" t="str">
        <f t="shared" si="4"/>
        <v>مستوى متميز</v>
      </c>
      <c r="G22" s="30" t="str">
        <f t="shared" si="4"/>
        <v>مستوى متميز</v>
      </c>
      <c r="H22" s="30" t="str">
        <f t="shared" si="4"/>
        <v>مستوى متميز</v>
      </c>
      <c r="I22" s="30" t="str">
        <f t="shared" si="4"/>
        <v>مستوى متميز</v>
      </c>
      <c r="J22" s="30" t="str">
        <f t="shared" si="4"/>
        <v>مستوى متميز</v>
      </c>
      <c r="K22" s="30" t="str">
        <f t="shared" si="4"/>
        <v>مستوى ملائم</v>
      </c>
      <c r="L22" s="30" t="str">
        <f t="shared" si="4"/>
        <v>مستوى جيد</v>
      </c>
      <c r="M22" s="30" t="str">
        <f t="shared" si="4"/>
        <v>مستوى متميز</v>
      </c>
      <c r="N22" s="30" t="str">
        <f t="shared" si="4"/>
        <v>مستوى متميز</v>
      </c>
      <c r="O22" s="30" t="str">
        <f t="shared" si="4"/>
        <v>مستوى متميز</v>
      </c>
      <c r="P22" s="30" t="str">
        <f t="shared" si="4"/>
        <v>مستوى متميز</v>
      </c>
      <c r="Q22" s="30" t="str">
        <f t="shared" si="4"/>
        <v>مستوى جيد</v>
      </c>
      <c r="R22" s="30" t="str">
        <f t="shared" si="4"/>
        <v>مستوى متميز</v>
      </c>
      <c r="S22" s="30" t="str">
        <f t="shared" si="4"/>
        <v>مستوى جيد</v>
      </c>
      <c r="T22" s="30" t="str">
        <f t="shared" si="4"/>
        <v>مستوى متميز</v>
      </c>
      <c r="U22" s="30" t="str">
        <f t="shared" si="4"/>
        <v>مستوى متميز</v>
      </c>
      <c r="V22" s="30" t="str">
        <f t="shared" si="4"/>
        <v>مستوى متميز</v>
      </c>
      <c r="W22" s="30" t="str">
        <f t="shared" si="4"/>
        <v>مستوى متميز</v>
      </c>
      <c r="X22" s="30" t="str">
        <f t="shared" si="4"/>
        <v>مستوى ملائم</v>
      </c>
      <c r="Y22" s="30" t="str">
        <f t="shared" si="4"/>
        <v>مستوى جيد</v>
      </c>
      <c r="Z22" s="30" t="str">
        <f t="shared" si="4"/>
        <v>مستوى متميز</v>
      </c>
      <c r="AA22" s="30" t="str">
        <f t="shared" si="4"/>
        <v>مستوى متميز</v>
      </c>
      <c r="AB22" s="30" t="str">
        <f t="shared" si="4"/>
        <v>مستوى متميز</v>
      </c>
      <c r="AC22" s="30" t="str">
        <f t="shared" si="4"/>
        <v>مستوى متميز</v>
      </c>
      <c r="AD22" s="30" t="str">
        <f t="shared" si="4"/>
        <v>مستوى جيد</v>
      </c>
      <c r="AE22" s="30" t="str">
        <f t="shared" si="4"/>
        <v>مستوى جيد</v>
      </c>
      <c r="AF22" s="30" t="str">
        <f t="shared" si="4"/>
        <v>مستوى ملائم</v>
      </c>
      <c r="AG22" s="30" t="str">
        <f t="shared" si="4"/>
        <v>مستوى متميز</v>
      </c>
      <c r="AH22" s="30" t="str">
        <f t="shared" si="4"/>
        <v>مستوى غير ملائم</v>
      </c>
    </row>
    <row r="23" spans="1:37" ht="14.4" thickTop="1" x14ac:dyDescent="0.25"/>
    <row r="53" spans="2:2" x14ac:dyDescent="0.25">
      <c r="B53" s="2" t="e" cm="1">
        <f t="array" ref="B53">Q</f>
        <v>#NAME?</v>
      </c>
    </row>
  </sheetData>
  <mergeCells count="3">
    <mergeCell ref="A3:A4"/>
    <mergeCell ref="A20:B20"/>
    <mergeCell ref="A22:B22"/>
  </mergeCells>
  <conditionalFormatting sqref="C5:AG19">
    <cfRule type="cellIs" dxfId="103" priority="8" operator="between">
      <formula>1</formula>
      <formula>5</formula>
    </cfRule>
    <cfRule type="cellIs" dxfId="102" priority="9" operator="lessThan">
      <formula>1</formula>
    </cfRule>
    <cfRule type="containsText" dxfId="101" priority="10" operator="containsText" text="0">
      <formula>NOT(ISERROR(SEARCH("0",C5)))</formula>
    </cfRule>
    <cfRule type="containsText" dxfId="100" priority="11" operator="containsText" text="0">
      <formula>NOT(ISERROR(SEARCH("0",C5)))</formula>
    </cfRule>
    <cfRule type="containsText" dxfId="99" priority="12" operator="containsText" text="1">
      <formula>NOT(ISERROR(SEARCH("1",C5)))</formula>
    </cfRule>
    <cfRule type="containsText" dxfId="98" priority="13" operator="containsText" text="0">
      <formula>NOT(ISERROR(SEARCH("0",C5)))</formula>
    </cfRule>
  </conditionalFormatting>
  <conditionalFormatting sqref="C21:AH21">
    <cfRule type="cellIs" dxfId="97" priority="1" operator="between">
      <formula>40</formula>
      <formula>50</formula>
    </cfRule>
    <cfRule type="cellIs" dxfId="96" priority="3" operator="greaterThan">
      <formula>70</formula>
    </cfRule>
    <cfRule type="cellIs" dxfId="95" priority="4" operator="between">
      <formula>60</formula>
      <formula>70</formula>
    </cfRule>
    <cfRule type="cellIs" dxfId="94" priority="5" operator="lessThan">
      <formula>40</formula>
    </cfRule>
    <cfRule type="cellIs" dxfId="93" priority="6" operator="between">
      <formula>50</formula>
      <formula>60</formula>
    </cfRule>
  </conditionalFormatting>
  <conditionalFormatting sqref="C22:AH22">
    <cfRule type="cellIs" dxfId="92" priority="7" operator="between">
      <formula>70</formula>
      <formula>100</formula>
    </cfRule>
  </conditionalFormatting>
  <conditionalFormatting sqref="AO6:AR6">
    <cfRule type="expression" dxfId="9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BB67-0D39-4A03-8CF8-12171AA829AB}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1.09765625" bestFit="1" customWidth="1"/>
    <col min="4" max="4" width="14.59765625" customWidth="1"/>
    <col min="5" max="9" width="10.296875" bestFit="1" customWidth="1"/>
    <col min="10" max="10" width="10.296875" customWidth="1"/>
    <col min="11" max="14" width="10.296875" bestFit="1" customWidth="1"/>
    <col min="15" max="15" width="10.296875" customWidth="1"/>
    <col min="16" max="29" width="10.296875" bestFit="1" customWidth="1"/>
    <col min="30" max="33" width="10.29687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7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8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" thickBot="1" x14ac:dyDescent="0.75">
      <c r="A25" s="59" t="s">
        <v>19</v>
      </c>
      <c r="B25" s="60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 x14ac:dyDescent="0.75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7.6" thickTop="1" thickBot="1" x14ac:dyDescent="0.75">
      <c r="A27" s="61" t="s">
        <v>110</v>
      </c>
      <c r="B27" s="62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0" priority="8" operator="between">
      <formula>1</formula>
      <formula>5</formula>
    </cfRule>
    <cfRule type="cellIs" dxfId="89" priority="9" operator="lessThan">
      <formula>1</formula>
    </cfRule>
    <cfRule type="containsText" dxfId="88" priority="10" operator="containsText" text="0">
      <formula>NOT(ISERROR(SEARCH("0",C5)))</formula>
    </cfRule>
    <cfRule type="containsText" dxfId="87" priority="11" operator="containsText" text="0">
      <formula>NOT(ISERROR(SEARCH("0",C5)))</formula>
    </cfRule>
    <cfRule type="containsText" dxfId="86" priority="12" operator="containsText" text="1">
      <formula>NOT(ISERROR(SEARCH("1",C5)))</formula>
    </cfRule>
    <cfRule type="containsText" dxfId="85" priority="13" operator="containsText" text="0">
      <formula>NOT(ISERROR(SEARCH("0",C5)))</formula>
    </cfRule>
  </conditionalFormatting>
  <conditionalFormatting sqref="C27:AG27">
    <cfRule type="cellIs" dxfId="84" priority="7" operator="between">
      <formula>70</formula>
      <formula>100</formula>
    </cfRule>
  </conditionalFormatting>
  <conditionalFormatting sqref="C26:AH26">
    <cfRule type="cellIs" dxfId="83" priority="1" operator="between">
      <formula>40</formula>
      <formula>50</formula>
    </cfRule>
    <cfRule type="cellIs" dxfId="82" priority="3" operator="greaterThan">
      <formula>70</formula>
    </cfRule>
    <cfRule type="cellIs" dxfId="81" priority="4" operator="between">
      <formula>60</formula>
      <formula>70</formula>
    </cfRule>
    <cfRule type="cellIs" dxfId="80" priority="5" operator="lessThan">
      <formula>40</formula>
    </cfRule>
    <cfRule type="cellIs" dxfId="79" priority="6" operator="between">
      <formula>50</formula>
      <formula>60</formula>
    </cfRule>
  </conditionalFormatting>
  <conditionalFormatting sqref="AO6:AR6">
    <cfRule type="expression" dxfId="7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B0E0-98F7-406D-8723-51B2E1AA9AA3}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3.59765625" style="2" customWidth="1"/>
    <col min="4" max="4" width="11.09765625" bestFit="1" customWidth="1"/>
    <col min="5" max="5" width="14.59765625" customWidth="1"/>
    <col min="6" max="10" width="10.296875" bestFit="1" customWidth="1"/>
    <col min="11" max="11" width="10.296875" customWidth="1"/>
    <col min="12" max="15" width="10.296875" bestFit="1" customWidth="1"/>
    <col min="16" max="16" width="10.296875" customWidth="1"/>
    <col min="17" max="30" width="10.296875" bestFit="1" customWidth="1"/>
    <col min="31" max="33" width="10.296875" customWidth="1"/>
    <col min="34" max="34" width="13" customWidth="1"/>
    <col min="35" max="35" width="14.59765625" customWidth="1"/>
    <col min="36" max="36" width="20.09765625" customWidth="1"/>
    <col min="37" max="37" width="16.296875" customWidth="1"/>
    <col min="38" max="38" width="9.09765625" customWidth="1"/>
    <col min="39" max="39" width="0.296875" customWidth="1"/>
    <col min="40" max="40" width="16.69921875" customWidth="1"/>
    <col min="41" max="41" width="16" customWidth="1"/>
    <col min="42" max="42" width="15.296875" customWidth="1"/>
    <col min="43" max="43" width="15.59765625" customWidth="1"/>
    <col min="44" max="44" width="16" customWidth="1"/>
  </cols>
  <sheetData>
    <row r="3" spans="1:44" ht="50.25" customHeight="1" x14ac:dyDescent="0.25">
      <c r="A3" s="57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 x14ac:dyDescent="0.25">
      <c r="A4" s="58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6.4" x14ac:dyDescent="0.7">
      <c r="A5" s="5">
        <v>1</v>
      </c>
      <c r="B5" s="6" t="s">
        <v>113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6.4" x14ac:dyDescent="0.7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6.4" x14ac:dyDescent="0.7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6.4" x14ac:dyDescent="0.7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6.4" x14ac:dyDescent="0.7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6.4" x14ac:dyDescent="0.7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6.4" x14ac:dyDescent="0.7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6.4" x14ac:dyDescent="0.7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6.4" x14ac:dyDescent="0.7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6.4" x14ac:dyDescent="0.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6.4" x14ac:dyDescent="0.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6.4" x14ac:dyDescent="0.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6.4" x14ac:dyDescent="0.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6.4" x14ac:dyDescent="0.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6.4" x14ac:dyDescent="0.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6.4" x14ac:dyDescent="0.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6.4" x14ac:dyDescent="0.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6.4" x14ac:dyDescent="0.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6.4" x14ac:dyDescent="0.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6.4" x14ac:dyDescent="0.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7" thickBot="1" x14ac:dyDescent="0.75">
      <c r="A25" s="59" t="s">
        <v>19</v>
      </c>
      <c r="B25" s="60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 x14ac:dyDescent="0.75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7.6" thickTop="1" thickBot="1" x14ac:dyDescent="0.75">
      <c r="A27" s="61" t="s">
        <v>4</v>
      </c>
      <c r="B27" s="62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7" priority="8" operator="between">
      <formula>1</formula>
      <formula>5</formula>
    </cfRule>
    <cfRule type="cellIs" dxfId="76" priority="9" operator="lessThan">
      <formula>1</formula>
    </cfRule>
    <cfRule type="containsText" dxfId="75" priority="10" operator="containsText" text="0">
      <formula>NOT(ISERROR(SEARCH("0",D5)))</formula>
    </cfRule>
    <cfRule type="containsText" dxfId="74" priority="11" operator="containsText" text="0">
      <formula>NOT(ISERROR(SEARCH("0",D5)))</formula>
    </cfRule>
    <cfRule type="containsText" dxfId="73" priority="12" operator="containsText" text="1">
      <formula>NOT(ISERROR(SEARCH("1",D5)))</formula>
    </cfRule>
    <cfRule type="containsText" dxfId="72" priority="13" operator="containsText" text="0">
      <formula>NOT(ISERROR(SEARCH("0",D5)))</formula>
    </cfRule>
  </conditionalFormatting>
  <conditionalFormatting sqref="D27:AG27">
    <cfRule type="cellIs" dxfId="71" priority="7" operator="between">
      <formula>70</formula>
      <formula>100</formula>
    </cfRule>
  </conditionalFormatting>
  <conditionalFormatting sqref="D26:AH26">
    <cfRule type="cellIs" dxfId="70" priority="1" operator="between">
      <formula>40</formula>
      <formula>50</formula>
    </cfRule>
    <cfRule type="cellIs" dxfId="69" priority="3" operator="greaterThan">
      <formula>70</formula>
    </cfRule>
    <cfRule type="cellIs" dxfId="68" priority="4" operator="between">
      <formula>60</formula>
      <formula>70</formula>
    </cfRule>
    <cfRule type="cellIs" dxfId="67" priority="5" operator="lessThan">
      <formula>40</formula>
    </cfRule>
    <cfRule type="cellIs" dxfId="66" priority="6" operator="between">
      <formula>50</formula>
      <formula>60</formula>
    </cfRule>
  </conditionalFormatting>
  <conditionalFormatting sqref="AO6:AR6">
    <cfRule type="expression" dxfId="6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D4BD-6747-42AF-B1FE-81E00C1168C8}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10" width="10.296875" bestFit="1" customWidth="1"/>
    <col min="11" max="12" width="10.296875" customWidth="1"/>
    <col min="13" max="33" width="10.296875" bestFit="1" customWidth="1"/>
    <col min="34" max="36" width="10.296875" customWidth="1"/>
    <col min="37" max="37" width="13" customWidth="1"/>
    <col min="38" max="38" width="14.59765625" customWidth="1"/>
    <col min="39" max="39" width="20.09765625" customWidth="1"/>
    <col min="40" max="40" width="16.296875" customWidth="1"/>
    <col min="41" max="41" width="9.09765625" customWidth="1"/>
    <col min="42" max="42" width="0.296875" customWidth="1"/>
    <col min="43" max="43" width="16.69921875" customWidth="1"/>
    <col min="44" max="44" width="16" customWidth="1"/>
    <col min="45" max="45" width="15.296875" customWidth="1"/>
    <col min="46" max="46" width="15.59765625" customWidth="1"/>
    <col min="47" max="47" width="16" customWidth="1"/>
  </cols>
  <sheetData>
    <row r="3" spans="1:47" ht="50.25" customHeight="1" x14ac:dyDescent="0.25">
      <c r="A3" s="57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 x14ac:dyDescent="0.25">
      <c r="A4" s="58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7" thickBot="1" x14ac:dyDescent="0.75">
      <c r="A25" s="59" t="s">
        <v>19</v>
      </c>
      <c r="B25" s="60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 x14ac:dyDescent="0.75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7.6" thickTop="1" thickBot="1" x14ac:dyDescent="0.75">
      <c r="A27" s="61" t="s">
        <v>4</v>
      </c>
      <c r="B27" s="62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4" priority="8" operator="between">
      <formula>1</formula>
      <formula>5</formula>
    </cfRule>
    <cfRule type="cellIs" dxfId="63" priority="9" operator="lessThan">
      <formula>1</formula>
    </cfRule>
    <cfRule type="containsText" dxfId="62" priority="10" operator="containsText" text="0">
      <formula>NOT(ISERROR(SEARCH("0",C5)))</formula>
    </cfRule>
    <cfRule type="containsText" dxfId="61" priority="11" operator="containsText" text="0">
      <formula>NOT(ISERROR(SEARCH("0",C5)))</formula>
    </cfRule>
    <cfRule type="containsText" dxfId="60" priority="12" operator="containsText" text="1">
      <formula>NOT(ISERROR(SEARCH("1",C5)))</formula>
    </cfRule>
    <cfRule type="containsText" dxfId="59" priority="13" operator="containsText" text="0">
      <formula>NOT(ISERROR(SEARCH("0",C5)))</formula>
    </cfRule>
  </conditionalFormatting>
  <conditionalFormatting sqref="C26:AJ26">
    <cfRule type="cellIs" dxfId="58" priority="1" operator="between">
      <formula>40</formula>
      <formula>50</formula>
    </cfRule>
    <cfRule type="cellIs" dxfId="57" priority="3" operator="greaterThan">
      <formula>70</formula>
    </cfRule>
    <cfRule type="cellIs" dxfId="56" priority="4" operator="between">
      <formula>60</formula>
      <formula>70</formula>
    </cfRule>
    <cfRule type="cellIs" dxfId="55" priority="5" operator="lessThan">
      <formula>40</formula>
    </cfRule>
    <cfRule type="cellIs" dxfId="54" priority="6" operator="between">
      <formula>50</formula>
      <formula>60</formula>
    </cfRule>
  </conditionalFormatting>
  <conditionalFormatting sqref="C27:AJ27">
    <cfRule type="cellIs" dxfId="53" priority="7" operator="between">
      <formula>70</formula>
      <formula>100</formula>
    </cfRule>
  </conditionalFormatting>
  <conditionalFormatting sqref="AR6:AU6">
    <cfRule type="expression" dxfId="5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B4C1-5366-47ED-9661-AD707B071D8B}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R23" sqref="R23:R24"/>
    </sheetView>
  </sheetViews>
  <sheetFormatPr defaultRowHeight="13.8" x14ac:dyDescent="0.25"/>
  <cols>
    <col min="1" max="1" width="4" style="2" customWidth="1"/>
    <col min="2" max="2" width="65.296875" style="2" customWidth="1"/>
    <col min="3" max="3" width="11.09765625" style="2" bestFit="1" customWidth="1"/>
    <col min="4" max="4" width="24.69921875" bestFit="1" customWidth="1"/>
    <col min="5" max="5" width="18.69921875" bestFit="1" customWidth="1"/>
    <col min="6" max="6" width="11.09765625" bestFit="1" customWidth="1"/>
    <col min="7" max="7" width="15.59765625" bestFit="1" customWidth="1"/>
    <col min="8" max="8" width="15.09765625" bestFit="1" customWidth="1"/>
    <col min="9" max="9" width="11.09765625" bestFit="1" customWidth="1"/>
    <col min="10" max="10" width="15.09765625" bestFit="1" customWidth="1"/>
    <col min="11" max="12" width="18.69921875" bestFit="1" customWidth="1"/>
    <col min="13" max="17" width="15.09765625" bestFit="1" customWidth="1"/>
    <col min="18" max="18" width="11.09765625" bestFit="1" customWidth="1"/>
    <col min="19" max="34" width="15.09765625" bestFit="1" customWidth="1"/>
    <col min="35" max="35" width="18.69921875" bestFit="1" customWidth="1"/>
    <col min="36" max="38" width="11.09765625" bestFit="1" customWidth="1"/>
    <col min="39" max="39" width="24.69921875" bestFit="1" customWidth="1"/>
    <col min="40" max="40" width="14.59765625" customWidth="1"/>
    <col min="41" max="41" width="20.09765625" customWidth="1"/>
    <col min="42" max="42" width="16.296875" customWidth="1"/>
    <col min="43" max="43" width="9.09765625" customWidth="1"/>
    <col min="44" max="44" width="0.296875" customWidth="1"/>
    <col min="45" max="45" width="16.69921875" customWidth="1"/>
    <col min="46" max="46" width="16" customWidth="1"/>
    <col min="47" max="47" width="15.296875" customWidth="1"/>
    <col min="48" max="48" width="15.59765625" customWidth="1"/>
    <col min="49" max="49" width="16" customWidth="1"/>
  </cols>
  <sheetData>
    <row r="3" spans="1:49" ht="50.25" customHeight="1" x14ac:dyDescent="0.25">
      <c r="A3" s="57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 x14ac:dyDescent="0.25">
      <c r="A4" s="58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26.4" x14ac:dyDescent="0.7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26.4" x14ac:dyDescent="0.7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6">
        <f t="shared" si="0"/>
        <v>0</v>
      </c>
      <c r="AN6" s="14">
        <f t="shared" si="1"/>
        <v>0</v>
      </c>
      <c r="AO6" s="11">
        <f t="shared" si="2"/>
        <v>0</v>
      </c>
      <c r="AP6" s="10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26.4" x14ac:dyDescent="0.7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26">
        <f t="shared" si="0"/>
        <v>0</v>
      </c>
      <c r="AN7" s="14">
        <f t="shared" si="1"/>
        <v>0</v>
      </c>
      <c r="AO7" s="11">
        <f t="shared" si="2"/>
        <v>0</v>
      </c>
      <c r="AP7" s="10">
        <f t="shared" si="3"/>
        <v>0</v>
      </c>
    </row>
    <row r="8" spans="1:49" ht="26.4" x14ac:dyDescent="0.7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26">
        <f t="shared" si="0"/>
        <v>0</v>
      </c>
      <c r="AN8" s="14">
        <f t="shared" si="1"/>
        <v>0</v>
      </c>
      <c r="AO8" s="11">
        <f t="shared" si="2"/>
        <v>0</v>
      </c>
      <c r="AP8" s="10">
        <f t="shared" si="3"/>
        <v>0</v>
      </c>
    </row>
    <row r="9" spans="1:49" ht="26.4" x14ac:dyDescent="0.7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6">
        <f t="shared" si="0"/>
        <v>0</v>
      </c>
      <c r="AN9" s="14">
        <f t="shared" si="1"/>
        <v>0</v>
      </c>
      <c r="AO9" s="11">
        <f t="shared" si="2"/>
        <v>0</v>
      </c>
      <c r="AP9" s="10">
        <f t="shared" si="3"/>
        <v>0</v>
      </c>
    </row>
    <row r="10" spans="1:49" ht="26.4" x14ac:dyDescent="0.7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26">
        <f t="shared" si="0"/>
        <v>0</v>
      </c>
      <c r="AN10" s="14">
        <f t="shared" si="1"/>
        <v>0</v>
      </c>
      <c r="AO10" s="11">
        <f t="shared" si="2"/>
        <v>0</v>
      </c>
      <c r="AP10" s="10">
        <f t="shared" si="3"/>
        <v>0</v>
      </c>
    </row>
    <row r="11" spans="1:49" ht="26.4" x14ac:dyDescent="0.7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26">
        <f t="shared" si="0"/>
        <v>0</v>
      </c>
      <c r="AN11" s="14">
        <f t="shared" si="1"/>
        <v>0</v>
      </c>
      <c r="AO11" s="11">
        <f t="shared" si="2"/>
        <v>0</v>
      </c>
      <c r="AP11" s="10">
        <f t="shared" si="3"/>
        <v>0</v>
      </c>
    </row>
    <row r="12" spans="1:49" ht="26.4" x14ac:dyDescent="0.7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26">
        <f t="shared" si="0"/>
        <v>0</v>
      </c>
      <c r="AN12" s="14">
        <f t="shared" si="1"/>
        <v>0</v>
      </c>
      <c r="AO12" s="11">
        <f t="shared" si="2"/>
        <v>0</v>
      </c>
      <c r="AP12" s="10">
        <f t="shared" si="3"/>
        <v>0</v>
      </c>
    </row>
    <row r="13" spans="1:49" ht="26.4" x14ac:dyDescent="0.7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26">
        <f t="shared" si="0"/>
        <v>0</v>
      </c>
      <c r="AN13" s="14">
        <f t="shared" si="1"/>
        <v>0</v>
      </c>
      <c r="AO13" s="11">
        <f t="shared" si="2"/>
        <v>0</v>
      </c>
      <c r="AP13" s="10">
        <f t="shared" si="3"/>
        <v>0</v>
      </c>
    </row>
    <row r="14" spans="1:49" ht="26.4" x14ac:dyDescent="0.7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6.4" x14ac:dyDescent="0.7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6.4" x14ac:dyDescent="0.7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6.4" x14ac:dyDescent="0.7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6.4" x14ac:dyDescent="0.7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6.4" x14ac:dyDescent="0.7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6.4" x14ac:dyDescent="0.7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6.4" x14ac:dyDescent="0.7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6.4" x14ac:dyDescent="0.7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6.4" x14ac:dyDescent="0.7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6.4" x14ac:dyDescent="0.7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7" thickBot="1" x14ac:dyDescent="0.75">
      <c r="A25" s="59" t="s">
        <v>19</v>
      </c>
      <c r="B25" s="60"/>
      <c r="C25" s="4" t="e">
        <f t="shared" ref="C25:AM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4" t="e">
        <f t="shared" si="4"/>
        <v>#DIV/0!</v>
      </c>
      <c r="AL25" s="4" t="e">
        <f t="shared" si="4"/>
        <v>#DIV/0!</v>
      </c>
      <c r="AM25" s="4">
        <f t="shared" si="4"/>
        <v>0</v>
      </c>
      <c r="AN25" s="19">
        <f>SUM(AN5:AN24)</f>
        <v>0</v>
      </c>
      <c r="AO25" s="19">
        <f>SUM(AO5:AO24)</f>
        <v>0</v>
      </c>
      <c r="AP25" s="19">
        <f>SUM(AP5:AP24)</f>
        <v>0</v>
      </c>
    </row>
    <row r="26" spans="1:42" ht="51.75" customHeight="1" thickTop="1" thickBot="1" x14ac:dyDescent="0.75">
      <c r="A26" s="22"/>
      <c r="B26" s="23" t="s">
        <v>34</v>
      </c>
      <c r="C26" s="30" t="e">
        <f t="shared" ref="C26:AM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30" t="e">
        <f t="shared" si="5"/>
        <v>#DIV/0!</v>
      </c>
      <c r="AM26" s="30">
        <f t="shared" si="5"/>
        <v>0</v>
      </c>
      <c r="AN26" s="19"/>
      <c r="AO26" s="19"/>
      <c r="AP26" s="19"/>
    </row>
    <row r="27" spans="1:42" ht="27.6" thickTop="1" thickBot="1" x14ac:dyDescent="0.75">
      <c r="A27" s="61" t="s">
        <v>4</v>
      </c>
      <c r="B27" s="62"/>
      <c r="C27" s="30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si="6"/>
        <v>#DIV/0!</v>
      </c>
      <c r="AL27" s="30" t="e">
        <f t="shared" si="6"/>
        <v>#DIV/0!</v>
      </c>
      <c r="AM27" s="30" t="str">
        <f t="shared" si="6"/>
        <v xml:space="preserve"> يحتاج الى تدخل سريع</v>
      </c>
    </row>
    <row r="28" spans="1:42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1" priority="1" operator="between">
      <formula>40</formula>
      <formula>50</formula>
    </cfRule>
    <cfRule type="cellIs" dxfId="50" priority="3" operator="greaterThan">
      <formula>70</formula>
    </cfRule>
    <cfRule type="cellIs" dxfId="49" priority="4" operator="between">
      <formula>60</formula>
      <formula>70</formula>
    </cfRule>
    <cfRule type="cellIs" dxfId="48" priority="5" operator="lessThan">
      <formula>40</formula>
    </cfRule>
    <cfRule type="cellIs" dxfId="47" priority="6" operator="between">
      <formula>50</formula>
      <formula>60</formula>
    </cfRule>
  </conditionalFormatting>
  <conditionalFormatting sqref="C27:AM27">
    <cfRule type="cellIs" dxfId="46" priority="7" operator="between">
      <formula>70</formula>
      <formula>100</formula>
    </cfRule>
  </conditionalFormatting>
  <conditionalFormatting sqref="D5:AL24">
    <cfRule type="cellIs" dxfId="45" priority="8" operator="between">
      <formula>1</formula>
      <formula>5</formula>
    </cfRule>
    <cfRule type="cellIs" dxfId="44" priority="9" operator="lessThan">
      <formula>1</formula>
    </cfRule>
    <cfRule type="containsText" dxfId="43" priority="10" operator="containsText" text="0">
      <formula>NOT(ISERROR(SEARCH("0",D5)))</formula>
    </cfRule>
    <cfRule type="containsText" dxfId="42" priority="11" operator="containsText" text="0">
      <formula>NOT(ISERROR(SEARCH("0",D5)))</formula>
    </cfRule>
    <cfRule type="containsText" dxfId="41" priority="12" operator="containsText" text="1">
      <formula>NOT(ISERROR(SEARCH("1",D5)))</formula>
    </cfRule>
    <cfRule type="containsText" dxfId="40" priority="13" operator="containsText" text="0">
      <formula>NOT(ISERROR(SEARCH("0",D5)))</formula>
    </cfRule>
  </conditionalFormatting>
  <conditionalFormatting sqref="AT6:AW6">
    <cfRule type="expression" dxfId="3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2961-84B9-4A04-8145-D9A4CA964F24}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7" width="10.296875" bestFit="1" customWidth="1"/>
    <col min="8" max="8" width="10.296875" customWidth="1"/>
    <col min="9" max="11" width="10.296875" bestFit="1" customWidth="1"/>
    <col min="12" max="13" width="10.296875" customWidth="1"/>
    <col min="14" max="34" width="10.296875" bestFit="1" customWidth="1"/>
    <col min="35" max="35" width="10.296875" customWidth="1"/>
    <col min="36" max="36" width="13" customWidth="1"/>
    <col min="37" max="37" width="14.59765625" customWidth="1"/>
    <col min="38" max="38" width="20.09765625" customWidth="1"/>
    <col min="39" max="39" width="16.296875" customWidth="1"/>
    <col min="40" max="40" width="9.09765625" customWidth="1"/>
    <col min="41" max="41" width="0.296875" customWidth="1"/>
    <col min="42" max="42" width="16.69921875" customWidth="1"/>
    <col min="43" max="43" width="16" customWidth="1"/>
    <col min="44" max="44" width="15.296875" customWidth="1"/>
    <col min="45" max="45" width="15.59765625" customWidth="1"/>
    <col min="46" max="46" width="16" customWidth="1"/>
  </cols>
  <sheetData>
    <row r="3" spans="1:46" ht="50.25" customHeight="1" x14ac:dyDescent="0.25">
      <c r="A3" s="57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 x14ac:dyDescent="0.25">
      <c r="A4" s="58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7" thickBot="1" x14ac:dyDescent="0.75">
      <c r="A25" s="59" t="s">
        <v>19</v>
      </c>
      <c r="B25" s="60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 x14ac:dyDescent="0.75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7.6" thickTop="1" thickBot="1" x14ac:dyDescent="0.75">
      <c r="A27" s="61" t="s">
        <v>4</v>
      </c>
      <c r="B27" s="62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38" priority="8" operator="between">
      <formula>1</formula>
      <formula>5</formula>
    </cfRule>
    <cfRule type="cellIs" dxfId="37" priority="9" operator="lessThan">
      <formula>1</formula>
    </cfRule>
    <cfRule type="containsText" dxfId="36" priority="10" operator="containsText" text="0">
      <formula>NOT(ISERROR(SEARCH("0",C5)))</formula>
    </cfRule>
    <cfRule type="containsText" dxfId="35" priority="11" operator="containsText" text="0">
      <formula>NOT(ISERROR(SEARCH("0",C5)))</formula>
    </cfRule>
    <cfRule type="containsText" dxfId="34" priority="12" operator="containsText" text="1">
      <formula>NOT(ISERROR(SEARCH("1",C5)))</formula>
    </cfRule>
    <cfRule type="containsText" dxfId="33" priority="13" operator="containsText" text="0">
      <formula>NOT(ISERROR(SEARCH("0",C5)))</formula>
    </cfRule>
  </conditionalFormatting>
  <conditionalFormatting sqref="C26:AK26">
    <cfRule type="cellIs" dxfId="32" priority="1" operator="between">
      <formula>40</formula>
      <formula>50</formula>
    </cfRule>
    <cfRule type="cellIs" dxfId="31" priority="3" operator="greaterThan">
      <formula>70</formula>
    </cfRule>
    <cfRule type="cellIs" dxfId="30" priority="4" operator="between">
      <formula>60</formula>
      <formula>70</formula>
    </cfRule>
    <cfRule type="cellIs" dxfId="29" priority="5" operator="lessThan">
      <formula>40</formula>
    </cfRule>
    <cfRule type="cellIs" dxfId="28" priority="6" operator="between">
      <formula>50</formula>
      <formula>60</formula>
    </cfRule>
  </conditionalFormatting>
  <conditionalFormatting sqref="C27:AK27">
    <cfRule type="cellIs" dxfId="27" priority="7" operator="between">
      <formula>70</formula>
      <formula>100</formula>
    </cfRule>
  </conditionalFormatting>
  <conditionalFormatting sqref="AQ6:AT6">
    <cfRule type="expression" dxfId="2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E88E-5ABF-437A-A6F7-F79260F6B53D}">
  <sheetPr>
    <tabColor rgb="FFFFC000"/>
  </sheetPr>
  <dimension ref="A3:AS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AO6" sqref="AO6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5" width="14.59765625" customWidth="1"/>
    <col min="6" max="7" width="10.296875" bestFit="1" customWidth="1"/>
    <col min="8" max="8" width="10.296875" customWidth="1"/>
    <col min="9" max="9" width="14.09765625" bestFit="1" customWidth="1"/>
    <col min="10" max="11" width="10.296875" bestFit="1" customWidth="1"/>
    <col min="12" max="13" width="10.296875" customWidth="1"/>
    <col min="14" max="15" width="10.296875" bestFit="1" customWidth="1"/>
    <col min="16" max="16" width="10.296875" customWidth="1"/>
    <col min="17" max="34" width="10.296875" bestFit="1" customWidth="1"/>
    <col min="35" max="35" width="13" customWidth="1"/>
    <col min="36" max="36" width="14.59765625" customWidth="1"/>
    <col min="37" max="37" width="20.09765625" customWidth="1"/>
    <col min="38" max="38" width="16.296875" customWidth="1"/>
    <col min="39" max="39" width="9.09765625" customWidth="1"/>
    <col min="40" max="40" width="0.296875" customWidth="1"/>
    <col min="41" max="41" width="16.69921875" customWidth="1"/>
    <col min="42" max="42" width="16" customWidth="1"/>
    <col min="43" max="43" width="15.296875" customWidth="1"/>
    <col min="44" max="44" width="15.59765625" customWidth="1"/>
    <col min="45" max="45" width="16" customWidth="1"/>
  </cols>
  <sheetData>
    <row r="3" spans="1:45" ht="50.25" customHeight="1" x14ac:dyDescent="0.25">
      <c r="A3" s="57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 x14ac:dyDescent="0.25">
      <c r="A4" s="58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6.4" x14ac:dyDescent="0.7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6.4" x14ac:dyDescent="0.7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"/>
      <c r="AA6" s="9"/>
      <c r="AB6" s="9"/>
      <c r="AC6" s="9"/>
      <c r="AD6" s="9"/>
      <c r="AE6" s="9"/>
      <c r="AF6" s="9"/>
      <c r="AG6" s="9"/>
      <c r="AH6" s="9"/>
      <c r="AI6" s="26">
        <f t="shared" si="0"/>
        <v>0</v>
      </c>
      <c r="AJ6" s="14">
        <f t="shared" si="1"/>
        <v>0</v>
      </c>
      <c r="AK6" s="34">
        <f t="shared" si="2"/>
        <v>0</v>
      </c>
      <c r="AL6" s="10">
        <f t="shared" si="3"/>
        <v>0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6.4" x14ac:dyDescent="0.7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9"/>
      <c r="AA7" s="9"/>
      <c r="AB7" s="9"/>
      <c r="AC7" s="9"/>
      <c r="AD7" s="9"/>
      <c r="AE7" s="9"/>
      <c r="AF7" s="9"/>
      <c r="AG7" s="9"/>
      <c r="AH7" s="9"/>
      <c r="AI7" s="26">
        <f t="shared" si="0"/>
        <v>0</v>
      </c>
      <c r="AJ7" s="14">
        <f t="shared" si="1"/>
        <v>0</v>
      </c>
      <c r="AK7" s="34">
        <f t="shared" si="2"/>
        <v>0</v>
      </c>
      <c r="AL7" s="10">
        <f t="shared" si="3"/>
        <v>0</v>
      </c>
    </row>
    <row r="8" spans="1:45" ht="26.4" x14ac:dyDescent="0.7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9"/>
      <c r="AA8" s="9"/>
      <c r="AB8" s="9"/>
      <c r="AC8" s="9"/>
      <c r="AD8" s="9"/>
      <c r="AE8" s="9"/>
      <c r="AF8" s="9"/>
      <c r="AG8" s="9"/>
      <c r="AH8" s="9"/>
      <c r="AI8" s="26">
        <f t="shared" si="0"/>
        <v>0</v>
      </c>
      <c r="AJ8" s="14">
        <f t="shared" si="1"/>
        <v>0</v>
      </c>
      <c r="AK8" s="34">
        <f t="shared" si="2"/>
        <v>0</v>
      </c>
      <c r="AL8" s="10">
        <f t="shared" si="3"/>
        <v>0</v>
      </c>
    </row>
    <row r="9" spans="1:45" ht="26.4" x14ac:dyDescent="0.7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9"/>
      <c r="AA9" s="9"/>
      <c r="AB9" s="9"/>
      <c r="AC9" s="9"/>
      <c r="AD9" s="9"/>
      <c r="AE9" s="9"/>
      <c r="AF9" s="9"/>
      <c r="AG9" s="9"/>
      <c r="AH9" s="9"/>
      <c r="AI9" s="26">
        <f t="shared" si="0"/>
        <v>0</v>
      </c>
      <c r="AJ9" s="14">
        <f t="shared" si="1"/>
        <v>0</v>
      </c>
      <c r="AK9" s="34">
        <f t="shared" si="2"/>
        <v>0</v>
      </c>
      <c r="AL9" s="10">
        <f t="shared" si="3"/>
        <v>0</v>
      </c>
    </row>
    <row r="10" spans="1:45" ht="26.4" x14ac:dyDescent="0.7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9"/>
      <c r="AA10" s="9"/>
      <c r="AB10" s="9"/>
      <c r="AC10" s="9"/>
      <c r="AD10" s="9"/>
      <c r="AE10" s="9"/>
      <c r="AF10" s="9"/>
      <c r="AG10" s="9"/>
      <c r="AH10" s="9"/>
      <c r="AI10" s="26">
        <f t="shared" si="0"/>
        <v>0</v>
      </c>
      <c r="AJ10" s="14">
        <f t="shared" si="1"/>
        <v>0</v>
      </c>
      <c r="AK10" s="34">
        <f t="shared" si="2"/>
        <v>0</v>
      </c>
      <c r="AL10" s="10">
        <f t="shared" si="3"/>
        <v>0</v>
      </c>
    </row>
    <row r="11" spans="1:45" ht="26.4" x14ac:dyDescent="0.7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9"/>
      <c r="AA11" s="9"/>
      <c r="AB11" s="9"/>
      <c r="AC11" s="9"/>
      <c r="AD11" s="9"/>
      <c r="AE11" s="9"/>
      <c r="AF11" s="9"/>
      <c r="AG11" s="9"/>
      <c r="AH11" s="9"/>
      <c r="AI11" s="26">
        <f t="shared" si="0"/>
        <v>0</v>
      </c>
      <c r="AJ11" s="14">
        <f t="shared" si="1"/>
        <v>0</v>
      </c>
      <c r="AK11" s="34">
        <f t="shared" si="2"/>
        <v>0</v>
      </c>
      <c r="AL11" s="10">
        <f t="shared" si="3"/>
        <v>0</v>
      </c>
    </row>
    <row r="12" spans="1:45" ht="26.4" x14ac:dyDescent="0.7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9"/>
      <c r="AA12" s="9"/>
      <c r="AB12" s="9"/>
      <c r="AC12" s="9"/>
      <c r="AD12" s="9"/>
      <c r="AE12" s="9"/>
      <c r="AF12" s="9"/>
      <c r="AG12" s="9"/>
      <c r="AH12" s="9"/>
      <c r="AI12" s="26">
        <f t="shared" si="0"/>
        <v>0</v>
      </c>
      <c r="AJ12" s="14">
        <f t="shared" si="1"/>
        <v>0</v>
      </c>
      <c r="AK12" s="34">
        <f t="shared" si="2"/>
        <v>0</v>
      </c>
      <c r="AL12" s="10">
        <f t="shared" si="3"/>
        <v>0</v>
      </c>
    </row>
    <row r="13" spans="1:45" ht="26.4" x14ac:dyDescent="0.7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9"/>
      <c r="AB13" s="9"/>
      <c r="AC13" s="9"/>
      <c r="AD13" s="9"/>
      <c r="AE13" s="9"/>
      <c r="AF13" s="9"/>
      <c r="AG13" s="9"/>
      <c r="AH13" s="9"/>
      <c r="AI13" s="26">
        <f t="shared" si="0"/>
        <v>0</v>
      </c>
      <c r="AJ13" s="14">
        <f t="shared" si="1"/>
        <v>0</v>
      </c>
      <c r="AK13" s="34">
        <f t="shared" si="2"/>
        <v>0</v>
      </c>
      <c r="AL13" s="10">
        <f t="shared" si="3"/>
        <v>0</v>
      </c>
    </row>
    <row r="14" spans="1:45" ht="26.4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6.4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6.4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6.4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6.4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6.4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6.4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6.4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6.4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6.4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6.4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7" thickBot="1" x14ac:dyDescent="0.75">
      <c r="A25" s="59" t="s">
        <v>19</v>
      </c>
      <c r="B25" s="60"/>
      <c r="C25" s="4" t="e">
        <f>AVERAGE(C5:C24)</f>
        <v>#DIV/0!</v>
      </c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26" t="e">
        <f>SUM(C25:AH25)</f>
        <v>#DIV/0!</v>
      </c>
      <c r="AJ25" s="19">
        <f>SUM(AJ5:AJ24)</f>
        <v>0</v>
      </c>
      <c r="AK25" s="19">
        <f>SUM(AK5:AK24)</f>
        <v>0</v>
      </c>
      <c r="AL25" s="19">
        <f>SUM(AL5:AL24)</f>
        <v>0</v>
      </c>
    </row>
    <row r="26" spans="1:38" ht="51.75" customHeight="1" thickTop="1" thickBot="1" x14ac:dyDescent="0.75">
      <c r="A26" s="22"/>
      <c r="B26" s="23" t="s">
        <v>34</v>
      </c>
      <c r="C26" s="30" t="e">
        <f t="shared" ref="C26:AI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19"/>
      <c r="AK26" s="19"/>
      <c r="AL26" s="19"/>
    </row>
    <row r="27" spans="1:38" ht="27.6" thickTop="1" thickBot="1" x14ac:dyDescent="0.75">
      <c r="A27" s="61" t="s">
        <v>4</v>
      </c>
      <c r="B27" s="62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/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/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8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5" priority="8" operator="between">
      <formula>1</formula>
      <formula>5</formula>
    </cfRule>
    <cfRule type="cellIs" dxfId="24" priority="9" operator="lessThan">
      <formula>1</formula>
    </cfRule>
    <cfRule type="containsText" dxfId="23" priority="10" operator="containsText" text="0">
      <formula>NOT(ISERROR(SEARCH("0",C5)))</formula>
    </cfRule>
    <cfRule type="containsText" dxfId="22" priority="11" operator="containsText" text="0">
      <formula>NOT(ISERROR(SEARCH("0",C5)))</formula>
    </cfRule>
    <cfRule type="containsText" dxfId="21" priority="12" operator="containsText" text="1">
      <formula>NOT(ISERROR(SEARCH("1",C5)))</formula>
    </cfRule>
    <cfRule type="containsText" dxfId="20" priority="13" operator="containsText" text="0">
      <formula>NOT(ISERROR(SEARCH("0",C5)))</formula>
    </cfRule>
  </conditionalFormatting>
  <conditionalFormatting sqref="C26:AI26">
    <cfRule type="cellIs" dxfId="19" priority="1" operator="between">
      <formula>40</formula>
      <formula>50</formula>
    </cfRule>
    <cfRule type="cellIs" dxfId="18" priority="3" operator="greaterThan">
      <formula>70</formula>
    </cfRule>
    <cfRule type="cellIs" dxfId="17" priority="4" operator="between">
      <formula>60</formula>
      <formula>70</formula>
    </cfRule>
    <cfRule type="cellIs" dxfId="16" priority="5" operator="lessThan">
      <formula>40</formula>
    </cfRule>
    <cfRule type="cellIs" dxfId="15" priority="6" operator="between">
      <formula>50</formula>
      <formula>60</formula>
    </cfRule>
  </conditionalFormatting>
  <conditionalFormatting sqref="C27:AI27">
    <cfRule type="cellIs" dxfId="14" priority="7" operator="between">
      <formula>70</formula>
      <formula>100</formula>
    </cfRule>
  </conditionalFormatting>
  <conditionalFormatting sqref="AP6:AS6">
    <cfRule type="expression" dxfId="1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CF5D-B76D-4AF6-B309-EFA3CA3C2C11}">
  <sheetPr>
    <tabColor rgb="FFFFFF00"/>
  </sheetPr>
  <dimension ref="A3:BA58"/>
  <sheetViews>
    <sheetView rightToLeft="1" zoomScale="46" zoomScaleNormal="46" workbookViewId="0">
      <pane ySplit="4" topLeftCell="A5" activePane="bottomLeft" state="frozen"/>
      <selection activeCell="D1" sqref="D1"/>
      <selection pane="bottomLeft" activeCell="AH3" sqref="AH3"/>
    </sheetView>
  </sheetViews>
  <sheetFormatPr defaultRowHeight="13.8" x14ac:dyDescent="0.25"/>
  <cols>
    <col min="1" max="1" width="4" style="2" customWidth="1"/>
    <col min="2" max="2" width="37.09765625" style="2" customWidth="1"/>
    <col min="3" max="3" width="18.59765625" customWidth="1"/>
    <col min="4" max="4" width="11.09765625" bestFit="1" customWidth="1"/>
    <col min="5" max="6" width="11.09765625" customWidth="1"/>
    <col min="7" max="8" width="14.59765625" customWidth="1"/>
    <col min="9" max="10" width="10.296875" bestFit="1" customWidth="1"/>
    <col min="11" max="12" width="10.296875" customWidth="1"/>
    <col min="13" max="15" width="10.296875" bestFit="1" customWidth="1"/>
    <col min="16" max="18" width="10.296875" customWidth="1"/>
    <col min="19" max="19" width="10.296875" bestFit="1" customWidth="1"/>
    <col min="20" max="20" width="10.296875" customWidth="1"/>
    <col min="21" max="21" width="10.296875" bestFit="1" customWidth="1"/>
    <col min="22" max="23" width="10.296875" customWidth="1"/>
    <col min="24" max="24" width="10.296875" bestFit="1" customWidth="1"/>
    <col min="25" max="25" width="10.296875" customWidth="1"/>
    <col min="26" max="27" width="10.296875" bestFit="1" customWidth="1"/>
    <col min="28" max="28" width="10.296875" customWidth="1"/>
    <col min="29" max="42" width="10.296875" bestFit="1" customWidth="1"/>
    <col min="43" max="43" width="13" customWidth="1"/>
    <col min="44" max="44" width="14.59765625" customWidth="1"/>
    <col min="45" max="45" width="20.09765625" customWidth="1"/>
    <col min="46" max="46" width="22.59765625" customWidth="1"/>
    <col min="47" max="47" width="14.8984375" customWidth="1"/>
    <col min="48" max="48" width="10.296875" customWidth="1"/>
    <col min="49" max="49" width="16.69921875" customWidth="1"/>
    <col min="50" max="50" width="16" customWidth="1"/>
    <col min="51" max="51" width="15.296875" customWidth="1"/>
    <col min="52" max="52" width="15.59765625" customWidth="1"/>
    <col min="53" max="53" width="16" customWidth="1"/>
  </cols>
  <sheetData>
    <row r="3" spans="1:53" ht="50.25" customHeight="1" x14ac:dyDescent="0.25">
      <c r="A3" s="57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 x14ac:dyDescent="0.25">
      <c r="A4" s="58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8.2" x14ac:dyDescent="0.7">
      <c r="A5" s="5">
        <v>1</v>
      </c>
      <c r="B5" s="6" t="s">
        <v>118</v>
      </c>
      <c r="C5" s="3">
        <v>1</v>
      </c>
      <c r="D5" s="3">
        <v>1</v>
      </c>
      <c r="E5" s="3">
        <v>1</v>
      </c>
      <c r="F5" s="3">
        <v>1</v>
      </c>
      <c r="G5" s="3">
        <v>2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1</v>
      </c>
      <c r="O5" s="3">
        <v>1</v>
      </c>
      <c r="P5" s="3">
        <v>3</v>
      </c>
      <c r="Q5" s="3">
        <v>0</v>
      </c>
      <c r="R5" s="3">
        <v>1</v>
      </c>
      <c r="S5" s="3">
        <v>2</v>
      </c>
      <c r="T5" s="3">
        <v>1</v>
      </c>
      <c r="U5" s="3">
        <v>0</v>
      </c>
      <c r="V5" s="3">
        <v>1</v>
      </c>
      <c r="W5" s="3">
        <v>0</v>
      </c>
      <c r="X5" s="3">
        <v>1</v>
      </c>
      <c r="Y5" s="3">
        <v>1</v>
      </c>
      <c r="Z5" s="3">
        <v>0</v>
      </c>
      <c r="AA5" s="3">
        <v>2</v>
      </c>
      <c r="AB5" s="3">
        <v>1</v>
      </c>
      <c r="AC5" s="3">
        <v>0</v>
      </c>
      <c r="AD5" s="3">
        <v>0</v>
      </c>
      <c r="AE5" s="3">
        <v>1</v>
      </c>
      <c r="AF5" s="3">
        <v>2</v>
      </c>
      <c r="AG5" s="9">
        <v>2</v>
      </c>
      <c r="AH5" s="9">
        <v>1</v>
      </c>
      <c r="AI5" s="9">
        <v>2</v>
      </c>
      <c r="AJ5" s="9">
        <v>2</v>
      </c>
      <c r="AK5" s="9">
        <v>0</v>
      </c>
      <c r="AL5" s="9">
        <v>1</v>
      </c>
      <c r="AM5" s="9">
        <v>1</v>
      </c>
      <c r="AN5" s="9">
        <v>1</v>
      </c>
      <c r="AO5" s="9">
        <v>1</v>
      </c>
      <c r="AP5" s="9">
        <v>0</v>
      </c>
      <c r="AQ5" s="26">
        <f t="shared" ref="AQ5:AQ24" si="0">SUM(C5:AP5)</f>
        <v>40</v>
      </c>
      <c r="AR5" s="39">
        <f t="shared" ref="AR5:AR24" si="1">AI5+AE5+AB5+U5+G5</f>
        <v>6</v>
      </c>
      <c r="AS5" s="40">
        <f t="shared" ref="AS5:AS24" si="2">AO5+AL5+AK5+AH5+AD5+Z5+X5+W5+V5+S5+J5+I5</f>
        <v>9</v>
      </c>
      <c r="AT5" s="41">
        <f t="shared" ref="AT5:AT8" si="3">AJ5+AG5+AF5+AA5+Y5+T5+R5+Q5+P5+M5+L5+K5+H5+F5+C5+AP5</f>
        <v>19</v>
      </c>
      <c r="AU5" s="42">
        <f t="shared" ref="AU5:AU24" si="4">AN5+AM5+AC5+O5+N5+E5+D5</f>
        <v>6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8.2" x14ac:dyDescent="0.7">
      <c r="A6" s="5">
        <v>2</v>
      </c>
      <c r="B6" s="6" t="s">
        <v>119</v>
      </c>
      <c r="C6" s="3">
        <v>1</v>
      </c>
      <c r="D6" s="3">
        <v>1</v>
      </c>
      <c r="E6" s="3">
        <v>1</v>
      </c>
      <c r="F6" s="3">
        <v>1</v>
      </c>
      <c r="G6" s="3">
        <v>2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3</v>
      </c>
      <c r="Q6" s="3">
        <v>2</v>
      </c>
      <c r="R6" s="3">
        <v>1</v>
      </c>
      <c r="S6" s="3">
        <v>2</v>
      </c>
      <c r="T6" s="3">
        <v>1</v>
      </c>
      <c r="U6" s="3">
        <v>2</v>
      </c>
      <c r="V6" s="3">
        <v>1</v>
      </c>
      <c r="W6" s="3">
        <v>1</v>
      </c>
      <c r="X6" s="3">
        <v>1</v>
      </c>
      <c r="Y6" s="3">
        <v>1</v>
      </c>
      <c r="Z6" s="3">
        <v>4</v>
      </c>
      <c r="AA6" s="3">
        <v>2</v>
      </c>
      <c r="AB6" s="3">
        <v>1</v>
      </c>
      <c r="AC6" s="3">
        <v>2</v>
      </c>
      <c r="AD6" s="3">
        <v>0</v>
      </c>
      <c r="AE6" s="3">
        <v>1</v>
      </c>
      <c r="AF6" s="3">
        <v>1</v>
      </c>
      <c r="AG6" s="9">
        <v>2</v>
      </c>
      <c r="AH6" s="9">
        <v>1</v>
      </c>
      <c r="AI6" s="9">
        <v>2</v>
      </c>
      <c r="AJ6" s="9">
        <v>2</v>
      </c>
      <c r="AK6" s="9">
        <v>2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26">
        <f t="shared" si="0"/>
        <v>54</v>
      </c>
      <c r="AR6" s="39">
        <f t="shared" si="1"/>
        <v>8</v>
      </c>
      <c r="AS6" s="40">
        <f t="shared" si="2"/>
        <v>16</v>
      </c>
      <c r="AT6" s="41">
        <f t="shared" si="3"/>
        <v>22</v>
      </c>
      <c r="AU6" s="42">
        <f t="shared" si="4"/>
        <v>8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8.2" x14ac:dyDescent="0.7">
      <c r="A7" s="5">
        <v>3</v>
      </c>
      <c r="B7" s="6" t="s">
        <v>120</v>
      </c>
      <c r="C7" s="3">
        <v>1</v>
      </c>
      <c r="D7" s="3">
        <v>0</v>
      </c>
      <c r="E7" s="3">
        <v>1</v>
      </c>
      <c r="F7" s="3">
        <v>1</v>
      </c>
      <c r="G7" s="3">
        <v>2</v>
      </c>
      <c r="H7" s="3">
        <v>1</v>
      </c>
      <c r="I7" s="3">
        <v>1</v>
      </c>
      <c r="J7" s="3">
        <v>0</v>
      </c>
      <c r="K7" s="3">
        <v>1</v>
      </c>
      <c r="L7" s="3">
        <v>1</v>
      </c>
      <c r="M7" s="3">
        <v>1</v>
      </c>
      <c r="N7" s="3">
        <v>0</v>
      </c>
      <c r="O7" s="3">
        <v>1</v>
      </c>
      <c r="P7" s="3">
        <v>0</v>
      </c>
      <c r="Q7" s="3">
        <v>0</v>
      </c>
      <c r="R7" s="3">
        <v>1</v>
      </c>
      <c r="S7" s="3">
        <v>2</v>
      </c>
      <c r="T7" s="3">
        <v>1</v>
      </c>
      <c r="U7" s="3">
        <v>0</v>
      </c>
      <c r="V7" s="3">
        <v>0</v>
      </c>
      <c r="W7" s="3">
        <v>0</v>
      </c>
      <c r="X7" s="3">
        <v>1</v>
      </c>
      <c r="Y7" s="3">
        <v>1</v>
      </c>
      <c r="Z7" s="3">
        <v>0</v>
      </c>
      <c r="AA7" s="3">
        <v>0</v>
      </c>
      <c r="AB7" s="3">
        <v>1</v>
      </c>
      <c r="AC7" s="3">
        <v>0</v>
      </c>
      <c r="AD7" s="3">
        <v>0</v>
      </c>
      <c r="AE7" s="3">
        <v>1</v>
      </c>
      <c r="AF7" s="3">
        <v>1</v>
      </c>
      <c r="AG7" s="9">
        <v>2</v>
      </c>
      <c r="AH7" s="9">
        <v>1</v>
      </c>
      <c r="AI7" s="9">
        <v>1</v>
      </c>
      <c r="AJ7" s="9">
        <v>1</v>
      </c>
      <c r="AK7" s="9">
        <v>0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26">
        <f t="shared" si="0"/>
        <v>30</v>
      </c>
      <c r="AR7" s="39">
        <f t="shared" si="1"/>
        <v>5</v>
      </c>
      <c r="AS7" s="40">
        <f t="shared" si="2"/>
        <v>7</v>
      </c>
      <c r="AT7" s="41">
        <f t="shared" si="3"/>
        <v>14</v>
      </c>
      <c r="AU7" s="42">
        <f t="shared" si="4"/>
        <v>4</v>
      </c>
    </row>
    <row r="8" spans="1:53" ht="28.2" x14ac:dyDescent="0.7">
      <c r="A8" s="5">
        <v>4</v>
      </c>
      <c r="B8" s="6" t="s">
        <v>121</v>
      </c>
      <c r="C8" s="3">
        <v>1</v>
      </c>
      <c r="D8" s="3">
        <v>0</v>
      </c>
      <c r="E8" s="3">
        <v>1</v>
      </c>
      <c r="F8" s="3">
        <v>1</v>
      </c>
      <c r="G8" s="3">
        <v>2</v>
      </c>
      <c r="H8" s="3">
        <v>1</v>
      </c>
      <c r="I8" s="3">
        <v>1</v>
      </c>
      <c r="J8" s="3">
        <v>0</v>
      </c>
      <c r="K8" s="3">
        <v>1</v>
      </c>
      <c r="L8" s="3">
        <v>0</v>
      </c>
      <c r="M8" s="3">
        <v>1</v>
      </c>
      <c r="N8" s="3">
        <v>0</v>
      </c>
      <c r="O8" s="3">
        <v>0</v>
      </c>
      <c r="P8" s="3">
        <v>3</v>
      </c>
      <c r="Q8" s="3">
        <v>0</v>
      </c>
      <c r="R8" s="3">
        <v>1</v>
      </c>
      <c r="S8" s="3">
        <v>2</v>
      </c>
      <c r="T8" s="3">
        <v>1</v>
      </c>
      <c r="U8" s="3">
        <v>0</v>
      </c>
      <c r="V8" s="3">
        <v>0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1</v>
      </c>
      <c r="AF8" s="3">
        <v>1</v>
      </c>
      <c r="AG8" s="9">
        <v>1</v>
      </c>
      <c r="AH8" s="9">
        <v>1</v>
      </c>
      <c r="AI8" s="9">
        <v>2</v>
      </c>
      <c r="AJ8" s="9">
        <v>1</v>
      </c>
      <c r="AK8" s="9">
        <v>3</v>
      </c>
      <c r="AL8" s="9">
        <v>1</v>
      </c>
      <c r="AM8" s="9">
        <v>0</v>
      </c>
      <c r="AN8" s="9">
        <v>0</v>
      </c>
      <c r="AO8" s="9">
        <v>1</v>
      </c>
      <c r="AP8" s="9">
        <v>1</v>
      </c>
      <c r="AQ8" s="26">
        <f t="shared" si="0"/>
        <v>33</v>
      </c>
      <c r="AR8" s="39">
        <f t="shared" si="1"/>
        <v>6</v>
      </c>
      <c r="AS8" s="40">
        <f t="shared" si="2"/>
        <v>11</v>
      </c>
      <c r="AT8" s="41">
        <f t="shared" si="3"/>
        <v>15</v>
      </c>
      <c r="AU8" s="42">
        <f t="shared" si="4"/>
        <v>1</v>
      </c>
    </row>
    <row r="9" spans="1:53" ht="28.2" x14ac:dyDescent="0.7">
      <c r="A9" s="5">
        <v>5</v>
      </c>
      <c r="B9" s="6" t="s">
        <v>122</v>
      </c>
      <c r="C9" s="3">
        <v>1</v>
      </c>
      <c r="D9" s="3">
        <v>0</v>
      </c>
      <c r="E9" s="3">
        <v>1</v>
      </c>
      <c r="F9" s="3">
        <v>1</v>
      </c>
      <c r="G9" s="3">
        <v>2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0</v>
      </c>
      <c r="O9" s="3">
        <v>1</v>
      </c>
      <c r="P9" s="3">
        <v>3</v>
      </c>
      <c r="Q9" s="3">
        <v>2</v>
      </c>
      <c r="R9" s="3">
        <v>1</v>
      </c>
      <c r="S9" s="3">
        <v>2</v>
      </c>
      <c r="T9" s="3">
        <v>1</v>
      </c>
      <c r="U9" s="3">
        <v>0</v>
      </c>
      <c r="V9" s="3">
        <v>1</v>
      </c>
      <c r="W9" s="3">
        <v>0</v>
      </c>
      <c r="X9" s="3">
        <v>1</v>
      </c>
      <c r="Y9" s="3">
        <v>1</v>
      </c>
      <c r="Z9" s="3">
        <v>0</v>
      </c>
      <c r="AA9" s="3">
        <v>0</v>
      </c>
      <c r="AB9" s="3">
        <v>1</v>
      </c>
      <c r="AC9" s="3">
        <v>0</v>
      </c>
      <c r="AD9" s="3">
        <v>0</v>
      </c>
      <c r="AE9" s="3">
        <v>1</v>
      </c>
      <c r="AF9" s="3">
        <v>1</v>
      </c>
      <c r="AG9" s="9">
        <v>0</v>
      </c>
      <c r="AH9" s="9">
        <v>1</v>
      </c>
      <c r="AI9" s="9">
        <v>2</v>
      </c>
      <c r="AJ9" s="9">
        <v>2</v>
      </c>
      <c r="AK9" s="9">
        <v>0</v>
      </c>
      <c r="AL9" s="9">
        <v>1</v>
      </c>
      <c r="AM9" s="9">
        <v>1</v>
      </c>
      <c r="AN9" s="9">
        <v>0</v>
      </c>
      <c r="AO9" s="9">
        <v>1</v>
      </c>
      <c r="AP9" s="9">
        <v>1</v>
      </c>
      <c r="AQ9" s="26">
        <f t="shared" si="0"/>
        <v>36</v>
      </c>
      <c r="AR9" s="39">
        <f t="shared" si="1"/>
        <v>6</v>
      </c>
      <c r="AS9" s="40">
        <f t="shared" si="2"/>
        <v>9</v>
      </c>
      <c r="AT9" s="41">
        <f t="shared" ref="AT9" si="5">AP9+AJ9+AG9+AF9+AA9+Y9+T9+R9+Q9+P9+M9+AG29+L9+K9+H9+F9+C9</f>
        <v>18</v>
      </c>
      <c r="AU9" s="42">
        <f t="shared" si="4"/>
        <v>3</v>
      </c>
    </row>
    <row r="10" spans="1:53" ht="28.2" x14ac:dyDescent="0.7">
      <c r="A10" s="5">
        <v>6</v>
      </c>
      <c r="B10" s="6" t="s">
        <v>123</v>
      </c>
      <c r="C10" s="3">
        <v>1</v>
      </c>
      <c r="D10" s="3">
        <v>1</v>
      </c>
      <c r="E10" s="3">
        <v>1</v>
      </c>
      <c r="F10" s="3">
        <v>1</v>
      </c>
      <c r="G10" s="3">
        <v>2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3</v>
      </c>
      <c r="Q10" s="3">
        <v>2</v>
      </c>
      <c r="R10" s="3">
        <v>1</v>
      </c>
      <c r="S10" s="3">
        <v>2</v>
      </c>
      <c r="T10" s="3">
        <v>1</v>
      </c>
      <c r="U10" s="3">
        <v>2</v>
      </c>
      <c r="V10" s="3">
        <v>1</v>
      </c>
      <c r="W10" s="3">
        <v>1</v>
      </c>
      <c r="X10" s="3">
        <v>1</v>
      </c>
      <c r="Y10" s="3">
        <v>1</v>
      </c>
      <c r="Z10" s="3">
        <v>4</v>
      </c>
      <c r="AA10" s="3">
        <v>2</v>
      </c>
      <c r="AB10" s="3">
        <v>1</v>
      </c>
      <c r="AC10" s="3">
        <v>2</v>
      </c>
      <c r="AD10" s="3">
        <v>0</v>
      </c>
      <c r="AE10" s="3">
        <v>1</v>
      </c>
      <c r="AF10" s="3">
        <v>2</v>
      </c>
      <c r="AG10" s="9">
        <v>2</v>
      </c>
      <c r="AH10" s="9">
        <v>1</v>
      </c>
      <c r="AI10" s="9">
        <v>2</v>
      </c>
      <c r="AJ10" s="9">
        <v>2</v>
      </c>
      <c r="AK10" s="9">
        <v>3</v>
      </c>
      <c r="AL10" s="9">
        <v>1</v>
      </c>
      <c r="AM10" s="9">
        <v>1</v>
      </c>
      <c r="AN10" s="9">
        <v>1</v>
      </c>
      <c r="AO10" s="9">
        <v>1</v>
      </c>
      <c r="AP10" s="9">
        <v>1</v>
      </c>
      <c r="AQ10" s="26">
        <f t="shared" si="0"/>
        <v>56</v>
      </c>
      <c r="AR10" s="39">
        <f t="shared" si="1"/>
        <v>8</v>
      </c>
      <c r="AS10" s="40">
        <f t="shared" si="2"/>
        <v>17</v>
      </c>
      <c r="AT10" s="41">
        <f t="shared" ref="AT10:AT24" si="6">AP10+AJ10+AG10+AF10+AA10+Y10+T10+R10+Q10+P10+M10+AG30+L10+K10+H10+F10+C10</f>
        <v>23</v>
      </c>
      <c r="AU10" s="42">
        <f t="shared" si="4"/>
        <v>8</v>
      </c>
    </row>
    <row r="11" spans="1:53" ht="28.2" x14ac:dyDescent="0.7">
      <c r="A11" s="5">
        <v>7</v>
      </c>
      <c r="B11" s="6" t="s">
        <v>124</v>
      </c>
      <c r="C11" s="3">
        <v>1</v>
      </c>
      <c r="D11" s="3">
        <v>1</v>
      </c>
      <c r="E11" s="3">
        <v>1</v>
      </c>
      <c r="F11" s="3">
        <v>1</v>
      </c>
      <c r="G11" s="3">
        <v>2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3</v>
      </c>
      <c r="Q11" s="3">
        <v>2</v>
      </c>
      <c r="R11" s="3">
        <v>1</v>
      </c>
      <c r="S11" s="3">
        <v>2</v>
      </c>
      <c r="T11" s="3">
        <v>1</v>
      </c>
      <c r="U11" s="3">
        <v>2</v>
      </c>
      <c r="V11" s="3">
        <v>1</v>
      </c>
      <c r="W11" s="3">
        <v>1</v>
      </c>
      <c r="X11" s="3">
        <v>1</v>
      </c>
      <c r="Y11" s="3">
        <v>1</v>
      </c>
      <c r="Z11" s="3">
        <v>4</v>
      </c>
      <c r="AA11" s="3">
        <v>2</v>
      </c>
      <c r="AB11" s="3">
        <v>1</v>
      </c>
      <c r="AC11" s="3">
        <v>2</v>
      </c>
      <c r="AD11" s="3">
        <v>4</v>
      </c>
      <c r="AE11" s="3">
        <v>1</v>
      </c>
      <c r="AF11" s="3">
        <v>2</v>
      </c>
      <c r="AG11" s="9">
        <v>2</v>
      </c>
      <c r="AH11" s="9">
        <v>1</v>
      </c>
      <c r="AI11" s="9">
        <v>2</v>
      </c>
      <c r="AJ11" s="9">
        <v>2</v>
      </c>
      <c r="AK11" s="9">
        <v>3</v>
      </c>
      <c r="AL11" s="9">
        <v>1</v>
      </c>
      <c r="AM11" s="9">
        <v>1</v>
      </c>
      <c r="AN11" s="9">
        <v>1</v>
      </c>
      <c r="AO11" s="9">
        <v>1</v>
      </c>
      <c r="AP11" s="9">
        <v>1</v>
      </c>
      <c r="AQ11" s="26">
        <f t="shared" si="0"/>
        <v>60</v>
      </c>
      <c r="AR11" s="39">
        <f t="shared" si="1"/>
        <v>8</v>
      </c>
      <c r="AS11" s="40">
        <f t="shared" si="2"/>
        <v>21</v>
      </c>
      <c r="AT11" s="41">
        <f t="shared" si="6"/>
        <v>23</v>
      </c>
      <c r="AU11" s="42">
        <f t="shared" si="4"/>
        <v>8</v>
      </c>
    </row>
    <row r="12" spans="1:53" ht="28.2" x14ac:dyDescent="0.7">
      <c r="A12" s="5">
        <v>8</v>
      </c>
      <c r="B12" s="6" t="s">
        <v>125</v>
      </c>
      <c r="C12" s="3">
        <v>1</v>
      </c>
      <c r="D12" s="3">
        <v>1</v>
      </c>
      <c r="E12" s="3">
        <v>1</v>
      </c>
      <c r="F12" s="3">
        <v>1</v>
      </c>
      <c r="G12" s="3">
        <v>2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0</v>
      </c>
      <c r="P12" s="3">
        <v>3</v>
      </c>
      <c r="Q12" s="3">
        <v>2</v>
      </c>
      <c r="R12" s="3">
        <v>1</v>
      </c>
      <c r="S12" s="3">
        <v>2</v>
      </c>
      <c r="T12" s="3">
        <v>1</v>
      </c>
      <c r="U12" s="3">
        <v>2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0</v>
      </c>
      <c r="AB12" s="3">
        <v>1</v>
      </c>
      <c r="AC12" s="3">
        <v>1</v>
      </c>
      <c r="AD12" s="3">
        <v>0</v>
      </c>
      <c r="AE12" s="3">
        <v>1</v>
      </c>
      <c r="AF12" s="3">
        <v>0</v>
      </c>
      <c r="AG12" s="9">
        <v>2</v>
      </c>
      <c r="AH12" s="9">
        <v>1</v>
      </c>
      <c r="AI12" s="9">
        <v>2</v>
      </c>
      <c r="AJ12" s="9">
        <v>2</v>
      </c>
      <c r="AK12" s="9">
        <v>3</v>
      </c>
      <c r="AL12" s="9">
        <v>1</v>
      </c>
      <c r="AM12" s="9">
        <v>1</v>
      </c>
      <c r="AN12" s="9">
        <v>1</v>
      </c>
      <c r="AO12" s="9">
        <v>1</v>
      </c>
      <c r="AP12" s="9">
        <v>1</v>
      </c>
      <c r="AQ12" s="26">
        <f t="shared" si="0"/>
        <v>46</v>
      </c>
      <c r="AR12" s="39">
        <f t="shared" si="1"/>
        <v>8</v>
      </c>
      <c r="AS12" s="40">
        <f t="shared" si="2"/>
        <v>13</v>
      </c>
      <c r="AT12" s="41">
        <f t="shared" si="6"/>
        <v>19</v>
      </c>
      <c r="AU12" s="42">
        <f t="shared" si="4"/>
        <v>6</v>
      </c>
    </row>
    <row r="13" spans="1:53" ht="28.2" x14ac:dyDescent="0.7">
      <c r="A13" s="5">
        <v>9</v>
      </c>
      <c r="B13" s="6" t="s">
        <v>126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0</v>
      </c>
      <c r="P13" s="3">
        <v>2</v>
      </c>
      <c r="Q13" s="3">
        <v>1</v>
      </c>
      <c r="R13" s="3">
        <v>1</v>
      </c>
      <c r="S13" s="3">
        <v>2</v>
      </c>
      <c r="T13" s="3">
        <v>1</v>
      </c>
      <c r="U13" s="3">
        <v>0</v>
      </c>
      <c r="V13" s="3">
        <v>0</v>
      </c>
      <c r="W13" s="3">
        <v>1</v>
      </c>
      <c r="X13" s="3">
        <v>1</v>
      </c>
      <c r="Y13" s="3">
        <v>1</v>
      </c>
      <c r="Z13" s="3">
        <v>0</v>
      </c>
      <c r="AA13" s="3">
        <v>2</v>
      </c>
      <c r="AB13" s="3">
        <v>1</v>
      </c>
      <c r="AC13" s="3">
        <v>1</v>
      </c>
      <c r="AD13" s="3">
        <v>0</v>
      </c>
      <c r="AE13" s="3">
        <v>1</v>
      </c>
      <c r="AF13" s="3">
        <v>0</v>
      </c>
      <c r="AG13" s="9">
        <v>2</v>
      </c>
      <c r="AH13" s="9">
        <v>1</v>
      </c>
      <c r="AI13" s="9">
        <v>2</v>
      </c>
      <c r="AJ13" s="9">
        <v>2</v>
      </c>
      <c r="AK13" s="9">
        <v>3</v>
      </c>
      <c r="AL13" s="9">
        <v>1</v>
      </c>
      <c r="AM13" s="9">
        <v>1</v>
      </c>
      <c r="AN13" s="9">
        <v>1</v>
      </c>
      <c r="AO13" s="9">
        <v>0</v>
      </c>
      <c r="AP13" s="9">
        <v>1</v>
      </c>
      <c r="AQ13" s="26">
        <f t="shared" si="0"/>
        <v>42</v>
      </c>
      <c r="AR13" s="39">
        <f t="shared" si="1"/>
        <v>6</v>
      </c>
      <c r="AS13" s="40">
        <f t="shared" si="2"/>
        <v>11</v>
      </c>
      <c r="AT13" s="41">
        <f t="shared" si="6"/>
        <v>19</v>
      </c>
      <c r="AU13" s="42">
        <f t="shared" si="4"/>
        <v>6</v>
      </c>
    </row>
    <row r="14" spans="1:53" ht="28.2" x14ac:dyDescent="0.7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8.2" x14ac:dyDescent="0.7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8.2" x14ac:dyDescent="0.7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8.2" x14ac:dyDescent="0.7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8.2" x14ac:dyDescent="0.7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8.2" x14ac:dyDescent="0.7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8.2" x14ac:dyDescent="0.7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8.2" x14ac:dyDescent="0.7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8.2" x14ac:dyDescent="0.7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8.2" x14ac:dyDescent="0.7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8.2" x14ac:dyDescent="0.7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7" thickBot="1" x14ac:dyDescent="0.75">
      <c r="A25" s="59" t="s">
        <v>19</v>
      </c>
      <c r="B25" s="60"/>
      <c r="C25" s="4">
        <f>AVERAGE(C5:C24)</f>
        <v>1</v>
      </c>
      <c r="D25" s="4">
        <f t="shared" ref="D25:AQ25" si="7">AVERAGE(D5:D24)</f>
        <v>0.66666666666666663</v>
      </c>
      <c r="E25" s="4">
        <f t="shared" si="7"/>
        <v>1</v>
      </c>
      <c r="F25" s="4">
        <f t="shared" si="7"/>
        <v>1</v>
      </c>
      <c r="G25" s="4">
        <f t="shared" si="7"/>
        <v>2</v>
      </c>
      <c r="H25" s="4">
        <f t="shared" si="7"/>
        <v>1</v>
      </c>
      <c r="I25" s="4">
        <f t="shared" si="7"/>
        <v>1</v>
      </c>
      <c r="J25" s="4">
        <f t="shared" si="7"/>
        <v>0.77777777777777779</v>
      </c>
      <c r="K25" s="4">
        <f t="shared" si="7"/>
        <v>1</v>
      </c>
      <c r="L25" s="4">
        <f t="shared" si="7"/>
        <v>0.77777777777777779</v>
      </c>
      <c r="M25" s="4">
        <f t="shared" si="7"/>
        <v>1</v>
      </c>
      <c r="N25" s="4">
        <f t="shared" si="7"/>
        <v>0.66666666666666663</v>
      </c>
      <c r="O25" s="4">
        <f t="shared" si="7"/>
        <v>0.66666666666666663</v>
      </c>
      <c r="P25" s="4">
        <f t="shared" si="7"/>
        <v>2.5555555555555554</v>
      </c>
      <c r="Q25" s="4">
        <f t="shared" si="7"/>
        <v>1.2222222222222223</v>
      </c>
      <c r="R25" s="4">
        <f t="shared" si="7"/>
        <v>1</v>
      </c>
      <c r="S25" s="4">
        <f t="shared" si="7"/>
        <v>2</v>
      </c>
      <c r="T25" s="4">
        <f t="shared" si="7"/>
        <v>1</v>
      </c>
      <c r="U25" s="4">
        <f t="shared" si="7"/>
        <v>0.88888888888888884</v>
      </c>
      <c r="V25" s="4">
        <f t="shared" si="7"/>
        <v>0.66666666666666663</v>
      </c>
      <c r="W25" s="4">
        <f t="shared" si="7"/>
        <v>0.66666666666666663</v>
      </c>
      <c r="X25" s="4">
        <f t="shared" si="7"/>
        <v>1</v>
      </c>
      <c r="Y25" s="4">
        <f t="shared" si="7"/>
        <v>1</v>
      </c>
      <c r="Z25" s="4">
        <f t="shared" si="7"/>
        <v>1.3333333333333333</v>
      </c>
      <c r="AA25" s="4">
        <f t="shared" si="7"/>
        <v>1.1111111111111112</v>
      </c>
      <c r="AB25" s="4">
        <f t="shared" si="7"/>
        <v>1</v>
      </c>
      <c r="AC25" s="4">
        <f t="shared" si="7"/>
        <v>0.88888888888888884</v>
      </c>
      <c r="AD25" s="4">
        <f t="shared" si="7"/>
        <v>0.44444444444444442</v>
      </c>
      <c r="AE25" s="4">
        <f t="shared" si="7"/>
        <v>1</v>
      </c>
      <c r="AF25" s="4">
        <f t="shared" si="7"/>
        <v>1.1111111111111112</v>
      </c>
      <c r="AG25" s="4">
        <f t="shared" si="7"/>
        <v>1.6666666666666667</v>
      </c>
      <c r="AH25" s="4">
        <f t="shared" si="7"/>
        <v>1</v>
      </c>
      <c r="AI25" s="4">
        <f t="shared" si="7"/>
        <v>1.8888888888888888</v>
      </c>
      <c r="AJ25" s="4">
        <f t="shared" si="7"/>
        <v>1.7777777777777777</v>
      </c>
      <c r="AK25" s="4">
        <f t="shared" si="7"/>
        <v>1.8888888888888888</v>
      </c>
      <c r="AL25" s="4">
        <f t="shared" si="7"/>
        <v>1</v>
      </c>
      <c r="AM25" s="4">
        <f t="shared" si="7"/>
        <v>0.88888888888888884</v>
      </c>
      <c r="AN25" s="4">
        <f t="shared" si="7"/>
        <v>0.77777777777777779</v>
      </c>
      <c r="AO25" s="4">
        <f t="shared" si="7"/>
        <v>0.88888888888888884</v>
      </c>
      <c r="AP25" s="4">
        <f t="shared" si="7"/>
        <v>0.88888888888888884</v>
      </c>
      <c r="AQ25" s="4">
        <f t="shared" si="7"/>
        <v>19.850000000000001</v>
      </c>
      <c r="AR25" s="26">
        <f>SUM(D25:AQ25)</f>
        <v>62.961111111111094</v>
      </c>
      <c r="AS25" s="19">
        <f>SUM(AS5:AS24)</f>
        <v>114</v>
      </c>
      <c r="AT25" s="19">
        <f>SUM(AT5:AT24)</f>
        <v>172</v>
      </c>
    </row>
    <row r="26" spans="1:47" ht="51.75" customHeight="1" thickTop="1" thickBot="1" x14ac:dyDescent="0.75">
      <c r="A26" s="22"/>
      <c r="B26" s="23" t="s">
        <v>34</v>
      </c>
      <c r="C26" s="30">
        <f t="shared" ref="C26:AR26" si="8">C25/C4*100</f>
        <v>100</v>
      </c>
      <c r="D26" s="30">
        <f t="shared" si="8"/>
        <v>66.666666666666657</v>
      </c>
      <c r="E26" s="30">
        <f t="shared" si="8"/>
        <v>100</v>
      </c>
      <c r="F26" s="30">
        <f t="shared" si="8"/>
        <v>100</v>
      </c>
      <c r="G26" s="30">
        <f t="shared" si="8"/>
        <v>100</v>
      </c>
      <c r="H26" s="30">
        <f t="shared" si="8"/>
        <v>100</v>
      </c>
      <c r="I26" s="30">
        <f t="shared" si="8"/>
        <v>100</v>
      </c>
      <c r="J26" s="30">
        <f t="shared" si="8"/>
        <v>77.777777777777786</v>
      </c>
      <c r="K26" s="30">
        <f t="shared" si="8"/>
        <v>100</v>
      </c>
      <c r="L26" s="30">
        <f t="shared" si="8"/>
        <v>77.777777777777786</v>
      </c>
      <c r="M26" s="30">
        <f t="shared" si="8"/>
        <v>100</v>
      </c>
      <c r="N26" s="30">
        <f t="shared" si="8"/>
        <v>66.666666666666657</v>
      </c>
      <c r="O26" s="30">
        <f t="shared" si="8"/>
        <v>66.666666666666657</v>
      </c>
      <c r="P26" s="30">
        <f t="shared" si="8"/>
        <v>85.185185185185176</v>
      </c>
      <c r="Q26" s="30">
        <f t="shared" si="8"/>
        <v>61.111111111111114</v>
      </c>
      <c r="R26" s="30">
        <f t="shared" si="8"/>
        <v>100</v>
      </c>
      <c r="S26" s="30">
        <f t="shared" si="8"/>
        <v>100</v>
      </c>
      <c r="T26" s="30">
        <f t="shared" si="8"/>
        <v>100</v>
      </c>
      <c r="U26" s="30">
        <f t="shared" si="8"/>
        <v>44.444444444444443</v>
      </c>
      <c r="V26" s="30">
        <f t="shared" si="8"/>
        <v>66.666666666666657</v>
      </c>
      <c r="W26" s="30">
        <f t="shared" si="8"/>
        <v>66.666666666666657</v>
      </c>
      <c r="X26" s="30">
        <f t="shared" si="8"/>
        <v>100</v>
      </c>
      <c r="Y26" s="30">
        <f t="shared" si="8"/>
        <v>100</v>
      </c>
      <c r="Z26" s="30">
        <f t="shared" si="8"/>
        <v>33.333333333333329</v>
      </c>
      <c r="AA26" s="30">
        <f t="shared" si="8"/>
        <v>55.555555555555557</v>
      </c>
      <c r="AB26" s="30">
        <f t="shared" si="8"/>
        <v>100</v>
      </c>
      <c r="AC26" s="30">
        <f t="shared" si="8"/>
        <v>44.444444444444443</v>
      </c>
      <c r="AD26" s="30">
        <f t="shared" si="8"/>
        <v>11.111111111111111</v>
      </c>
      <c r="AE26" s="30">
        <f t="shared" si="8"/>
        <v>100</v>
      </c>
      <c r="AF26" s="30">
        <f t="shared" si="8"/>
        <v>55.555555555555557</v>
      </c>
      <c r="AG26" s="30">
        <f t="shared" si="8"/>
        <v>83.333333333333343</v>
      </c>
      <c r="AH26" s="30">
        <f t="shared" si="8"/>
        <v>100</v>
      </c>
      <c r="AI26" s="30">
        <f t="shared" si="8"/>
        <v>94.444444444444443</v>
      </c>
      <c r="AJ26" s="30">
        <f t="shared" si="8"/>
        <v>88.888888888888886</v>
      </c>
      <c r="AK26" s="30">
        <f t="shared" si="8"/>
        <v>62.962962962962962</v>
      </c>
      <c r="AL26" s="30">
        <f t="shared" si="8"/>
        <v>100</v>
      </c>
      <c r="AM26" s="30">
        <f t="shared" si="8"/>
        <v>88.888888888888886</v>
      </c>
      <c r="AN26" s="30">
        <f t="shared" si="8"/>
        <v>77.777777777777786</v>
      </c>
      <c r="AO26" s="30">
        <f t="shared" si="8"/>
        <v>88.888888888888886</v>
      </c>
      <c r="AP26" s="30">
        <f t="shared" si="8"/>
        <v>88.888888888888886</v>
      </c>
      <c r="AQ26" s="30">
        <f t="shared" si="8"/>
        <v>33.083333333333336</v>
      </c>
      <c r="AR26" s="30">
        <f t="shared" si="8"/>
        <v>787.01388888888869</v>
      </c>
      <c r="AS26" s="19"/>
      <c r="AT26" s="19"/>
    </row>
    <row r="27" spans="1:47" ht="27.6" thickTop="1" thickBot="1" x14ac:dyDescent="0.75">
      <c r="A27" s="61" t="s">
        <v>4</v>
      </c>
      <c r="B27" s="62"/>
      <c r="C27" s="30" t="str">
        <f>IF(C26&gt;70,"مستوى متميز",IF(C26&gt;60,"مستوى جيد",IF(C26&gt;50,"مستوى ملائم",IF(C26&gt;=40,"مستوى غير ملائم"," يحتاج الى تدخل سريع"))))</f>
        <v>مستوى متميز</v>
      </c>
      <c r="D27" s="30" t="str">
        <f t="shared" ref="D27:AR27" si="9">IF(D26&gt;70,"مستوى متميز",IF(D26&gt;60,"مستوى جيد",IF(D26&gt;50,"مستوى ملائم",IF(D26&gt;=40,"مستوى غير ملائم"," يحتاج الى تدخل سريع"))))</f>
        <v>مستوى جيد</v>
      </c>
      <c r="E27" s="30" t="str">
        <f t="shared" si="9"/>
        <v>مستوى متميز</v>
      </c>
      <c r="F27" s="30" t="str">
        <f t="shared" si="9"/>
        <v>مستوى متميز</v>
      </c>
      <c r="G27" s="30" t="str">
        <f t="shared" si="9"/>
        <v>مستوى متميز</v>
      </c>
      <c r="H27" s="30" t="str">
        <f t="shared" si="9"/>
        <v>مستوى متميز</v>
      </c>
      <c r="I27" s="30" t="str">
        <f t="shared" si="9"/>
        <v>مستوى متميز</v>
      </c>
      <c r="J27" s="30" t="str">
        <f t="shared" si="9"/>
        <v>مستوى متميز</v>
      </c>
      <c r="K27" s="30" t="str">
        <f t="shared" si="9"/>
        <v>مستوى متميز</v>
      </c>
      <c r="L27" s="30" t="str">
        <f t="shared" si="9"/>
        <v>مستوى متميز</v>
      </c>
      <c r="M27" s="30" t="str">
        <f t="shared" si="9"/>
        <v>مستوى متميز</v>
      </c>
      <c r="N27" s="30" t="str">
        <f t="shared" si="9"/>
        <v>مستوى جيد</v>
      </c>
      <c r="O27" s="30" t="str">
        <f t="shared" si="9"/>
        <v>مستوى جيد</v>
      </c>
      <c r="P27" s="30" t="str">
        <f t="shared" si="9"/>
        <v>مستوى متميز</v>
      </c>
      <c r="Q27" s="30" t="str">
        <f t="shared" si="9"/>
        <v>مستوى جيد</v>
      </c>
      <c r="R27" s="30" t="str">
        <f t="shared" si="9"/>
        <v>مستوى متميز</v>
      </c>
      <c r="S27" s="30" t="str">
        <f t="shared" si="9"/>
        <v>مستوى متميز</v>
      </c>
      <c r="T27" s="30" t="str">
        <f t="shared" si="9"/>
        <v>مستوى متميز</v>
      </c>
      <c r="U27" s="30" t="str">
        <f t="shared" si="9"/>
        <v>مستوى غير ملائم</v>
      </c>
      <c r="V27" s="30" t="str">
        <f t="shared" si="9"/>
        <v>مستوى جيد</v>
      </c>
      <c r="W27" s="30" t="str">
        <f t="shared" si="9"/>
        <v>مستوى جيد</v>
      </c>
      <c r="X27" s="30" t="str">
        <f t="shared" si="9"/>
        <v>مستوى متميز</v>
      </c>
      <c r="Y27" s="30" t="str">
        <f t="shared" si="9"/>
        <v>مستوى متميز</v>
      </c>
      <c r="Z27" s="30" t="str">
        <f t="shared" si="9"/>
        <v xml:space="preserve"> يحتاج الى تدخل سريع</v>
      </c>
      <c r="AA27" s="30" t="str">
        <f t="shared" si="9"/>
        <v>مستوى ملائم</v>
      </c>
      <c r="AB27" s="30" t="str">
        <f t="shared" si="9"/>
        <v>مستوى متميز</v>
      </c>
      <c r="AC27" s="30" t="str">
        <f t="shared" si="9"/>
        <v>مستوى غير ملائم</v>
      </c>
      <c r="AD27" s="30" t="str">
        <f t="shared" si="9"/>
        <v xml:space="preserve"> يحتاج الى تدخل سريع</v>
      </c>
      <c r="AE27" s="30" t="str">
        <f t="shared" si="9"/>
        <v>مستوى متميز</v>
      </c>
      <c r="AF27" s="30" t="str">
        <f t="shared" si="9"/>
        <v>مستوى ملائم</v>
      </c>
      <c r="AG27" s="30" t="str">
        <f t="shared" si="9"/>
        <v>مستوى متميز</v>
      </c>
      <c r="AH27" s="30" t="str">
        <f t="shared" si="9"/>
        <v>مستوى متميز</v>
      </c>
      <c r="AI27" s="30" t="str">
        <f t="shared" si="9"/>
        <v>مستوى متميز</v>
      </c>
      <c r="AJ27" s="30" t="str">
        <f t="shared" si="9"/>
        <v>مستوى متميز</v>
      </c>
      <c r="AK27" s="30" t="str">
        <f t="shared" si="9"/>
        <v>مستوى جيد</v>
      </c>
      <c r="AL27" s="30" t="str">
        <f t="shared" si="9"/>
        <v>مستوى متميز</v>
      </c>
      <c r="AM27" s="30" t="str">
        <f t="shared" si="9"/>
        <v>مستوى متميز</v>
      </c>
      <c r="AN27" s="30" t="str">
        <f t="shared" si="9"/>
        <v>مستوى متميز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str">
        <f t="shared" si="9"/>
        <v>مستوى متميز</v>
      </c>
    </row>
    <row r="28" spans="1:47" ht="14.4" thickTop="1" x14ac:dyDescent="0.25"/>
    <row r="58" spans="2:2" x14ac:dyDescent="0.25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2" priority="8" operator="between">
      <formula>1</formula>
      <formula>5</formula>
    </cfRule>
    <cfRule type="cellIs" dxfId="11" priority="9" operator="lessThan">
      <formula>1</formula>
    </cfRule>
    <cfRule type="containsText" dxfId="10" priority="10" operator="containsText" text="0">
      <formula>NOT(ISERROR(SEARCH("0",C5)))</formula>
    </cfRule>
    <cfRule type="containsText" dxfId="9" priority="11" operator="containsText" text="0">
      <formula>NOT(ISERROR(SEARCH("0",C5)))</formula>
    </cfRule>
    <cfRule type="containsText" dxfId="8" priority="12" operator="containsText" text="1">
      <formula>NOT(ISERROR(SEARCH("1",C5)))</formula>
    </cfRule>
    <cfRule type="containsText" dxfId="7" priority="13" operator="containsText" text="0">
      <formula>NOT(ISERROR(SEARCH("0",C5)))</formula>
    </cfRule>
  </conditionalFormatting>
  <conditionalFormatting sqref="C26:AR26">
    <cfRule type="cellIs" dxfId="6" priority="1" operator="between">
      <formula>40</formula>
      <formula>50</formula>
    </cfRule>
    <cfRule type="cellIs" dxfId="5" priority="3" operator="greaterThan">
      <formula>70</formula>
    </cfRule>
    <cfRule type="cellIs" dxfId="4" priority="4" operator="between">
      <formula>60</formula>
      <formula>70</formula>
    </cfRule>
    <cfRule type="cellIs" dxfId="3" priority="5" operator="lessThan">
      <formula>40</formula>
    </cfRule>
    <cfRule type="cellIs" dxfId="2" priority="6" operator="between">
      <formula>50</formula>
      <formula>60</formula>
    </cfRule>
  </conditionalFormatting>
  <conditionalFormatting sqref="C27:AR27">
    <cfRule type="cellIs" dxfId="1" priority="7" operator="between">
      <formula>70</formula>
      <formula>100</formula>
    </cfRule>
  </conditionalFormatting>
  <conditionalFormatting sqref="AX6:BA6">
    <cfRule type="expression" dxfId="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CEFA-8ECF-4A04-89EF-76D0C267E7E7}">
  <dimension ref="A1:D8"/>
  <sheetViews>
    <sheetView rightToLeft="1" workbookViewId="0">
      <selection activeCell="C12" sqref="C12"/>
    </sheetView>
  </sheetViews>
  <sheetFormatPr defaultRowHeight="13.8" x14ac:dyDescent="0.25"/>
  <cols>
    <col min="1" max="1" width="22.8984375" customWidth="1"/>
    <col min="4" max="4" width="19" customWidth="1"/>
  </cols>
  <sheetData>
    <row r="1" spans="1:4" ht="24.6" x14ac:dyDescent="0.7">
      <c r="A1" s="1"/>
    </row>
    <row r="2" spans="1:4" ht="24.6" x14ac:dyDescent="0.7">
      <c r="A2" s="1"/>
      <c r="D2" t="s">
        <v>7</v>
      </c>
    </row>
    <row r="3" spans="1:4" ht="24.6" x14ac:dyDescent="0.7">
      <c r="A3" s="1"/>
      <c r="D3" s="7" t="s">
        <v>8</v>
      </c>
    </row>
    <row r="4" spans="1:4" ht="24.6" x14ac:dyDescent="0.7">
      <c r="A4" s="1"/>
      <c r="D4" s="7" t="s">
        <v>9</v>
      </c>
    </row>
    <row r="5" spans="1:4" ht="24.6" x14ac:dyDescent="0.7">
      <c r="A5" s="1"/>
      <c r="D5" s="7" t="s">
        <v>10</v>
      </c>
    </row>
    <row r="6" spans="1:4" ht="24.6" x14ac:dyDescent="0.7">
      <c r="A6" s="1"/>
    </row>
    <row r="7" spans="1:4" ht="24.6" x14ac:dyDescent="0.7">
      <c r="A7" s="1"/>
    </row>
    <row r="8" spans="1:4" ht="24.6" x14ac:dyDescent="0.7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النطاقات المسماة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hany elshamy</dc:creator>
  <cp:lastModifiedBy>هاني رجب محمد الشامى</cp:lastModifiedBy>
  <cp:lastPrinted>2026-01-29T20:41:55Z</cp:lastPrinted>
  <dcterms:created xsi:type="dcterms:W3CDTF">2023-01-10T03:42:57Z</dcterms:created>
  <dcterms:modified xsi:type="dcterms:W3CDTF">2026-02-02T21:57:44Z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