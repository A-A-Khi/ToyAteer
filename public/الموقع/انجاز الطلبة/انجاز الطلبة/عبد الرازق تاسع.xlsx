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b\Downloads\"/>
    </mc:Choice>
  </mc:AlternateContent>
  <xr:revisionPtr revIDLastSave="0" documentId="13_ncr:1_{7E1E5E6F-F628-472C-851D-29AE6CBD9476}" xr6:coauthVersionLast="47" xr6:coauthVersionMax="47" xr10:uidLastSave="{00000000-0000-0000-0000-000000000000}"/>
  <bookViews>
    <workbookView xWindow="-108" yWindow="-108" windowWidth="23256" windowHeight="12456" xr2:uid="{B32867C5-2712-4F04-80AB-C08C4B1D7AAD}"/>
  </bookViews>
  <sheets>
    <sheet name="تاسع صباحي" sheetId="1" r:id="rId1"/>
    <sheet name="العاشر صباحي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7" i="3" l="1"/>
  <c r="AJ39" i="3" s="1"/>
  <c r="AK37" i="3"/>
  <c r="AK39" i="3" s="1"/>
  <c r="AL37" i="3"/>
  <c r="AL39" i="3" s="1"/>
  <c r="AI37" i="3"/>
  <c r="AI39" i="3" s="1"/>
  <c r="AH37" i="3"/>
  <c r="AH39" i="3" s="1"/>
  <c r="AG37" i="3"/>
  <c r="AG39" i="3" s="1"/>
  <c r="AF37" i="3"/>
  <c r="AF39" i="3" s="1"/>
  <c r="AE37" i="3"/>
  <c r="AE39" i="3" s="1"/>
  <c r="AD37" i="3"/>
  <c r="AD39" i="3" s="1"/>
  <c r="AC37" i="3"/>
  <c r="AC39" i="3" s="1"/>
  <c r="AB37" i="3"/>
  <c r="AB39" i="3" s="1"/>
  <c r="AA37" i="3"/>
  <c r="AA39" i="3" s="1"/>
  <c r="Z37" i="3"/>
  <c r="Z39" i="3" s="1"/>
  <c r="Y37" i="3"/>
  <c r="Y39" i="3" s="1"/>
  <c r="X37" i="3"/>
  <c r="X39" i="3" s="1"/>
  <c r="W37" i="3"/>
  <c r="W39" i="3" s="1"/>
  <c r="V37" i="3"/>
  <c r="V39" i="3" s="1"/>
  <c r="U37" i="3"/>
  <c r="U39" i="3" s="1"/>
  <c r="T37" i="3"/>
  <c r="T39" i="3" s="1"/>
  <c r="S37" i="3"/>
  <c r="S39" i="3"/>
  <c r="R37" i="3"/>
  <c r="R39" i="3" s="1"/>
  <c r="Q37" i="3"/>
  <c r="Q39" i="3" s="1"/>
  <c r="P37" i="3"/>
  <c r="P39" i="3" s="1"/>
  <c r="O37" i="3"/>
  <c r="O39" i="3" s="1"/>
  <c r="N37" i="3"/>
  <c r="N39" i="3" s="1"/>
  <c r="M37" i="3"/>
  <c r="M39" i="3" s="1"/>
  <c r="L37" i="3"/>
  <c r="L39" i="3" s="1"/>
  <c r="K37" i="3"/>
  <c r="K39" i="3" s="1"/>
  <c r="J37" i="3"/>
  <c r="J39" i="3" s="1"/>
  <c r="I37" i="3"/>
  <c r="I39" i="3" s="1"/>
  <c r="H37" i="3"/>
  <c r="H39" i="3" s="1"/>
  <c r="G37" i="3"/>
  <c r="G39" i="3" s="1"/>
  <c r="F37" i="3"/>
  <c r="F39" i="3" s="1"/>
  <c r="E37" i="3"/>
  <c r="E39" i="3" s="1"/>
  <c r="D37" i="3"/>
  <c r="D39" i="3" s="1"/>
  <c r="C37" i="3"/>
  <c r="C39" i="3" s="1"/>
  <c r="AH37" i="1"/>
  <c r="AH39" i="1"/>
  <c r="AI37" i="1"/>
  <c r="AI39" i="1" s="1"/>
  <c r="AD37" i="1"/>
  <c r="AD39" i="1"/>
  <c r="AE37" i="1"/>
  <c r="AE39" i="1" s="1"/>
  <c r="AF37" i="1"/>
  <c r="AF39" i="1"/>
  <c r="AG37" i="1"/>
  <c r="AG39" i="1"/>
  <c r="D37" i="1"/>
  <c r="D39" i="1" s="1"/>
  <c r="E37" i="1"/>
  <c r="E39" i="1"/>
  <c r="F37" i="1"/>
  <c r="F39" i="1" s="1"/>
  <c r="G37" i="1"/>
  <c r="G39" i="1" s="1"/>
  <c r="H37" i="1"/>
  <c r="H39" i="1"/>
  <c r="I37" i="1"/>
  <c r="I39" i="1" s="1"/>
  <c r="J37" i="1"/>
  <c r="J39" i="1" s="1"/>
  <c r="K37" i="1"/>
  <c r="K39" i="1"/>
  <c r="L37" i="1"/>
  <c r="L39" i="1"/>
  <c r="M37" i="1"/>
  <c r="M39" i="1" s="1"/>
  <c r="N37" i="1"/>
  <c r="N39" i="1"/>
  <c r="O37" i="1"/>
  <c r="O39" i="1"/>
  <c r="P37" i="1"/>
  <c r="P39" i="1"/>
  <c r="Q37" i="1"/>
  <c r="Q39" i="1"/>
  <c r="R37" i="1"/>
  <c r="R39" i="1" s="1"/>
  <c r="S37" i="1"/>
  <c r="S39" i="1" s="1"/>
  <c r="T37" i="1"/>
  <c r="T39" i="1" s="1"/>
  <c r="U37" i="1"/>
  <c r="U39" i="1" s="1"/>
  <c r="V37" i="1"/>
  <c r="V39" i="1"/>
  <c r="W37" i="1"/>
  <c r="W39" i="1" s="1"/>
  <c r="X37" i="1"/>
  <c r="X39" i="1"/>
  <c r="Y37" i="1"/>
  <c r="Y39" i="1" s="1"/>
  <c r="Z37" i="1"/>
  <c r="Z39" i="1"/>
  <c r="AA37" i="1"/>
  <c r="AA39" i="1" s="1"/>
  <c r="AB37" i="1"/>
  <c r="AB39" i="1"/>
  <c r="AC37" i="1"/>
  <c r="AC39" i="1" s="1"/>
  <c r="C37" i="1"/>
  <c r="C39" i="1" s="1"/>
</calcChain>
</file>

<file path=xl/sharedStrings.xml><?xml version="1.0" encoding="utf-8"?>
<sst xmlns="http://schemas.openxmlformats.org/spreadsheetml/2006/main" count="333" uniqueCount="106">
  <si>
    <t>م</t>
  </si>
  <si>
    <t>المفردة 1</t>
  </si>
  <si>
    <t>المفردة 4</t>
  </si>
  <si>
    <t>المفردة 5 - ب</t>
  </si>
  <si>
    <t>المفردة 5 - أ</t>
  </si>
  <si>
    <t>المفردة 6</t>
  </si>
  <si>
    <t>المفردة 7</t>
  </si>
  <si>
    <t>المفردة 9</t>
  </si>
  <si>
    <t>المفردة 11</t>
  </si>
  <si>
    <t>المفردة 12</t>
  </si>
  <si>
    <t>المفردة 13</t>
  </si>
  <si>
    <t>المفردة 14</t>
  </si>
  <si>
    <t>المفردة 15</t>
  </si>
  <si>
    <t>المفردة 16</t>
  </si>
  <si>
    <t>المفردة 17</t>
  </si>
  <si>
    <t>المفردة 18</t>
  </si>
  <si>
    <t>المفردة 19</t>
  </si>
  <si>
    <t>المفردة 20</t>
  </si>
  <si>
    <t>المفردة 21</t>
  </si>
  <si>
    <t>المفردة 22</t>
  </si>
  <si>
    <t>المفردة 23</t>
  </si>
  <si>
    <t>المفردة 25</t>
  </si>
  <si>
    <t>المفردة 28</t>
  </si>
  <si>
    <t>اســــــــم الطــــــــالب</t>
  </si>
  <si>
    <t>المتوسط</t>
  </si>
  <si>
    <t>درجة المفردة</t>
  </si>
  <si>
    <t>النسبة</t>
  </si>
  <si>
    <t>هدف التقويم</t>
  </si>
  <si>
    <t>تعليمية ظفار - إشراف الأحياء</t>
  </si>
  <si>
    <t>الوحدة الدراسية</t>
  </si>
  <si>
    <t>نوع المفردة</t>
  </si>
  <si>
    <t>فعل الأمر (المفردات المقالية)</t>
  </si>
  <si>
    <t>اختيار من متعدد</t>
  </si>
  <si>
    <t>إجابة قصيرة</t>
  </si>
  <si>
    <t>اذكر</t>
  </si>
  <si>
    <t>إجابة طويلة</t>
  </si>
  <si>
    <t>صف</t>
  </si>
  <si>
    <t>اشرح</t>
  </si>
  <si>
    <t>حدد</t>
  </si>
  <si>
    <t>فسر</t>
  </si>
  <si>
    <t>تحليل المفردات الامتحانية لمادة الأحياء للصف التاسع الفترة الصباحية الفصل الدراسي الأول 2025 - 2026</t>
  </si>
  <si>
    <t>المفردة 2 - أ</t>
  </si>
  <si>
    <t>المفردة 2 - ب</t>
  </si>
  <si>
    <t>المفردة 2 - ج</t>
  </si>
  <si>
    <t>المفردة 3</t>
  </si>
  <si>
    <t>المفردة 7 - أ</t>
  </si>
  <si>
    <t xml:space="preserve">المفردة 7 - ب </t>
  </si>
  <si>
    <t>المفردة 8</t>
  </si>
  <si>
    <t>المفردة 9 -أ</t>
  </si>
  <si>
    <t>المفردة 9 - ب</t>
  </si>
  <si>
    <t>المفردة 10 - أ</t>
  </si>
  <si>
    <t>المفردة 10 - ب</t>
  </si>
  <si>
    <t>المفردة 11 - ا</t>
  </si>
  <si>
    <t>المفردة 11 - ب</t>
  </si>
  <si>
    <t>المفردة 13 - أ</t>
  </si>
  <si>
    <t>المفردة 13 - ب</t>
  </si>
  <si>
    <t>المفردة 14 - أ</t>
  </si>
  <si>
    <t>المفردة 14 - ب</t>
  </si>
  <si>
    <t>المفردة 16 - أ</t>
  </si>
  <si>
    <t>المفردة 16 - ب</t>
  </si>
  <si>
    <t>المفردة 18 - أ</t>
  </si>
  <si>
    <t>المفردة 18 - ب</t>
  </si>
  <si>
    <t>المفردة 18 - ج</t>
  </si>
  <si>
    <t>تحليل المفردات الامتحانية لمادة الأحياء للصف العاشر الفترة الصباحية الفصل الدراسي الأول 2025 - 2026</t>
  </si>
  <si>
    <t xml:space="preserve">المفردة 2 </t>
  </si>
  <si>
    <t xml:space="preserve">المفردة 10 </t>
  </si>
  <si>
    <t>المفردة 12 - أ</t>
  </si>
  <si>
    <t>المفردة 12 - ب</t>
  </si>
  <si>
    <t>المفردة 19 - أ</t>
  </si>
  <si>
    <t>المفردة 19 - ب</t>
  </si>
  <si>
    <t>المفردة 19 - ج</t>
  </si>
  <si>
    <t>المفردة 20 - أ</t>
  </si>
  <si>
    <t>المفردة 20 - ب</t>
  </si>
  <si>
    <t>المفردة 20 - ج</t>
  </si>
  <si>
    <t>المفردة 24</t>
  </si>
  <si>
    <t>المفردة 26</t>
  </si>
  <si>
    <t>المفردة 27 -أ</t>
  </si>
  <si>
    <t>المفردة 27 -ب</t>
  </si>
  <si>
    <t>المفردة 27 -ج</t>
  </si>
  <si>
    <t>قارن</t>
  </si>
  <si>
    <t>قدم</t>
  </si>
  <si>
    <t>حدد/فسر</t>
  </si>
  <si>
    <t xml:space="preserve">اختيار من متعدد </t>
  </si>
  <si>
    <t xml:space="preserve"> </t>
  </si>
  <si>
    <t>معرفة</t>
  </si>
  <si>
    <t>تطبيق</t>
  </si>
  <si>
    <t>استدلال</t>
  </si>
  <si>
    <t>استدلال/تطبيق</t>
  </si>
  <si>
    <t>الأولى</t>
  </si>
  <si>
    <t>الثانية</t>
  </si>
  <si>
    <t>الثالثة</t>
  </si>
  <si>
    <t>الرابعة</t>
  </si>
  <si>
    <t>الخامسة</t>
  </si>
  <si>
    <t>السادسة</t>
  </si>
  <si>
    <t>تميم عامر سالم العمري</t>
  </si>
  <si>
    <t>صدام عادل سعيد قيطون</t>
  </si>
  <si>
    <t>سالم مسلم على العمري</t>
  </si>
  <si>
    <t>علي سعيد احمد العمري</t>
  </si>
  <si>
    <t>سالم  محمد سالم باقي</t>
  </si>
  <si>
    <t xml:space="preserve">طلال سالم قيطون </t>
  </si>
  <si>
    <t xml:space="preserve">سعيد سالم سالم العمري </t>
  </si>
  <si>
    <t xml:space="preserve">مسلم عزيز مسعود العمري </t>
  </si>
  <si>
    <t xml:space="preserve">مجمد خالد قيطون الشحري </t>
  </si>
  <si>
    <t>عبد الرحمتان سالم أحمد العمري 1</t>
  </si>
  <si>
    <t>أحمد سالم بخيت العمري</t>
  </si>
  <si>
    <t xml:space="preserve">سعيد محمد مسعود العمري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</si>
</sst>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shrinkToFit="1"/>
    </xf>
    <xf numFmtId="0" fontId="0" fillId="2" borderId="1" xfId="0" applyFill="1" applyBorder="1" applyAlignment="1">
      <alignment shrinkToFit="1"/>
    </xf>
    <xf numFmtId="0" fontId="0" fillId="3" borderId="1" xfId="0" applyFill="1" applyBorder="1" applyAlignment="1">
      <alignment shrinkToFit="1"/>
    </xf>
    <xf numFmtId="0" fontId="0" fillId="4" borderId="1" xfId="0" applyFill="1" applyBorder="1" applyAlignment="1">
      <alignment shrinkToFit="1"/>
    </xf>
    <xf numFmtId="0" fontId="0" fillId="0" borderId="1" xfId="0" applyBorder="1" applyAlignment="1">
      <alignment horizontal="center" shrinkToFit="1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shrinkToFit="1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shrinkToFi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9BEA6-CFAA-4CF5-99EA-7B3433EED52B}">
  <dimension ref="A1:AI46"/>
  <sheetViews>
    <sheetView rightToLeft="1" tabSelected="1" topLeftCell="K22" workbookViewId="0">
      <selection activeCell="T9" sqref="T9"/>
    </sheetView>
  </sheetViews>
  <sheetFormatPr defaultRowHeight="13.8" x14ac:dyDescent="0.25"/>
  <cols>
    <col min="1" max="1" width="2.8984375" bestFit="1" customWidth="1"/>
    <col min="2" max="2" width="19.19921875" customWidth="1"/>
    <col min="3" max="3" width="10" bestFit="1" customWidth="1"/>
    <col min="4" max="4" width="9.8984375" bestFit="1" customWidth="1"/>
    <col min="5" max="5" width="10" bestFit="1" customWidth="1"/>
    <col min="6" max="7" width="14.69921875" customWidth="1"/>
    <col min="8" max="8" width="10" bestFit="1" customWidth="1"/>
    <col min="9" max="9" width="11" bestFit="1" customWidth="1"/>
    <col min="10" max="10" width="8.8984375" bestFit="1" customWidth="1"/>
    <col min="11" max="11" width="10" bestFit="1" customWidth="1"/>
    <col min="12" max="12" width="9.8984375" bestFit="1" customWidth="1"/>
    <col min="13" max="13" width="8.09765625" customWidth="1"/>
    <col min="14" max="14" width="10" bestFit="1" customWidth="1"/>
    <col min="15" max="15" width="11.09765625" bestFit="1" customWidth="1"/>
    <col min="17" max="17" width="10" bestFit="1" customWidth="1"/>
    <col min="18" max="18" width="8.796875" customWidth="1"/>
    <col min="19" max="19" width="10" customWidth="1"/>
    <col min="20" max="20" width="14.19921875" bestFit="1" customWidth="1"/>
    <col min="22" max="22" width="8.796875" customWidth="1"/>
    <col min="23" max="23" width="10" bestFit="1" customWidth="1"/>
    <col min="24" max="24" width="10.5" bestFit="1" customWidth="1"/>
    <col min="26" max="26" width="10" bestFit="1" customWidth="1"/>
    <col min="27" max="27" width="10.5" bestFit="1" customWidth="1"/>
    <col min="28" max="28" width="8.796875" customWidth="1"/>
    <col min="29" max="29" width="9.19921875" customWidth="1"/>
    <col min="30" max="30" width="10" bestFit="1" customWidth="1"/>
    <col min="31" max="31" width="8.796875" customWidth="1"/>
    <col min="32" max="32" width="9.19921875" customWidth="1"/>
    <col min="33" max="34" width="10" bestFit="1" customWidth="1"/>
  </cols>
  <sheetData>
    <row r="1" spans="1:35" x14ac:dyDescent="0.25">
      <c r="B1" s="10" t="s">
        <v>28</v>
      </c>
      <c r="C1" s="10"/>
      <c r="D1" s="10"/>
      <c r="E1" s="10"/>
      <c r="F1" s="10"/>
      <c r="G1" s="10"/>
      <c r="H1" s="10"/>
    </row>
    <row r="2" spans="1:35" x14ac:dyDescent="0.25">
      <c r="B2" s="10" t="s">
        <v>40</v>
      </c>
      <c r="C2" s="10"/>
      <c r="D2" s="10"/>
      <c r="E2" s="10"/>
      <c r="F2" s="10"/>
      <c r="G2" s="10"/>
      <c r="H2" s="10"/>
    </row>
    <row r="4" spans="1:35" x14ac:dyDescent="0.25">
      <c r="A4" s="2" t="s">
        <v>0</v>
      </c>
      <c r="B4" s="2" t="s">
        <v>23</v>
      </c>
      <c r="C4" s="2" t="s">
        <v>1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2</v>
      </c>
      <c r="I4" s="2" t="s">
        <v>4</v>
      </c>
      <c r="J4" s="2" t="s">
        <v>3</v>
      </c>
      <c r="K4" s="2" t="s">
        <v>5</v>
      </c>
      <c r="L4" s="2" t="s">
        <v>45</v>
      </c>
      <c r="M4" s="2" t="s">
        <v>46</v>
      </c>
      <c r="N4" s="2" t="s">
        <v>47</v>
      </c>
      <c r="O4" s="2" t="s">
        <v>48</v>
      </c>
      <c r="P4" s="2" t="s">
        <v>49</v>
      </c>
      <c r="Q4" s="2" t="s">
        <v>50</v>
      </c>
      <c r="R4" s="2" t="s">
        <v>51</v>
      </c>
      <c r="S4" s="2" t="s">
        <v>52</v>
      </c>
      <c r="T4" s="2" t="s">
        <v>53</v>
      </c>
      <c r="U4" s="2" t="s">
        <v>9</v>
      </c>
      <c r="V4" s="2" t="s">
        <v>54</v>
      </c>
      <c r="W4" s="2" t="s">
        <v>55</v>
      </c>
      <c r="X4" s="2" t="s">
        <v>56</v>
      </c>
      <c r="Y4" s="2" t="s">
        <v>57</v>
      </c>
      <c r="Z4" s="2" t="s">
        <v>12</v>
      </c>
      <c r="AA4" s="2" t="s">
        <v>58</v>
      </c>
      <c r="AB4" s="2" t="s">
        <v>59</v>
      </c>
      <c r="AC4" s="2" t="s">
        <v>14</v>
      </c>
      <c r="AD4" s="2" t="s">
        <v>60</v>
      </c>
      <c r="AE4" s="2" t="s">
        <v>61</v>
      </c>
      <c r="AF4" s="2" t="s">
        <v>62</v>
      </c>
      <c r="AG4" s="2" t="s">
        <v>16</v>
      </c>
      <c r="AH4" s="2" t="s">
        <v>17</v>
      </c>
      <c r="AI4" s="2" t="s">
        <v>18</v>
      </c>
    </row>
    <row r="5" spans="1:35" x14ac:dyDescent="0.25">
      <c r="A5" s="1">
        <v>1</v>
      </c>
      <c r="B5" s="1" t="s">
        <v>100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0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3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0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</row>
    <row r="6" spans="1:35" x14ac:dyDescent="0.25">
      <c r="A6" s="1">
        <v>2</v>
      </c>
      <c r="B6" s="1" t="s">
        <v>101</v>
      </c>
      <c r="C6" s="1">
        <v>1</v>
      </c>
      <c r="D6" s="1">
        <v>1</v>
      </c>
      <c r="E6" s="1">
        <v>1</v>
      </c>
      <c r="F6" s="1">
        <v>0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0</v>
      </c>
      <c r="N6" s="1">
        <v>0</v>
      </c>
      <c r="O6" s="1">
        <v>1</v>
      </c>
      <c r="P6" s="1">
        <v>1</v>
      </c>
      <c r="Q6" s="1">
        <v>1</v>
      </c>
      <c r="R6" s="1">
        <v>0</v>
      </c>
      <c r="S6" s="1">
        <v>1</v>
      </c>
      <c r="T6" s="1">
        <v>1</v>
      </c>
      <c r="U6" s="1">
        <v>3</v>
      </c>
      <c r="V6" s="1">
        <v>0</v>
      </c>
      <c r="W6" s="1">
        <v>1</v>
      </c>
      <c r="X6" s="1">
        <v>1</v>
      </c>
      <c r="Y6" s="1">
        <v>0</v>
      </c>
      <c r="Z6" s="1">
        <v>2</v>
      </c>
      <c r="AA6" s="1">
        <v>1</v>
      </c>
      <c r="AB6" s="1">
        <v>0</v>
      </c>
      <c r="AC6" s="1">
        <v>1</v>
      </c>
      <c r="AD6" s="1">
        <v>0</v>
      </c>
      <c r="AE6" s="1">
        <v>1</v>
      </c>
      <c r="AF6" s="1">
        <v>0</v>
      </c>
      <c r="AG6" s="1">
        <v>1</v>
      </c>
      <c r="AH6" s="1">
        <v>0</v>
      </c>
      <c r="AI6" s="1">
        <v>1</v>
      </c>
    </row>
    <row r="7" spans="1:35" x14ac:dyDescent="0.25">
      <c r="A7" s="1">
        <v>3</v>
      </c>
      <c r="B7" s="1" t="s">
        <v>102</v>
      </c>
      <c r="C7" s="1">
        <v>1</v>
      </c>
      <c r="D7" s="1">
        <v>1</v>
      </c>
      <c r="E7" s="1">
        <v>1</v>
      </c>
      <c r="F7" s="1">
        <v>0</v>
      </c>
      <c r="G7" s="1">
        <v>1</v>
      </c>
      <c r="H7" s="1">
        <v>1</v>
      </c>
      <c r="I7" s="1">
        <v>0</v>
      </c>
      <c r="J7" s="1">
        <v>1</v>
      </c>
      <c r="K7" s="1">
        <v>1</v>
      </c>
      <c r="L7" s="1">
        <v>1</v>
      </c>
      <c r="M7" s="1">
        <v>0</v>
      </c>
      <c r="N7" s="1">
        <v>0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2</v>
      </c>
      <c r="V7" s="1">
        <v>0</v>
      </c>
      <c r="W7" s="1">
        <v>1</v>
      </c>
      <c r="X7" s="1">
        <v>1</v>
      </c>
      <c r="Y7" s="1">
        <v>0</v>
      </c>
      <c r="Z7" s="1">
        <v>1</v>
      </c>
      <c r="AA7" s="1">
        <v>1</v>
      </c>
      <c r="AB7" s="1">
        <v>1</v>
      </c>
      <c r="AC7" s="1">
        <v>1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1</v>
      </c>
    </row>
    <row r="8" spans="1:35" x14ac:dyDescent="0.25">
      <c r="A8" s="1">
        <v>4</v>
      </c>
      <c r="B8" s="11" t="s">
        <v>103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0</v>
      </c>
      <c r="O8" s="1">
        <v>1</v>
      </c>
      <c r="P8" s="1">
        <v>1</v>
      </c>
      <c r="Q8" s="1">
        <v>1</v>
      </c>
      <c r="R8" s="1">
        <v>0</v>
      </c>
      <c r="S8" s="1">
        <v>0</v>
      </c>
      <c r="T8" s="1">
        <v>1</v>
      </c>
      <c r="U8" s="1">
        <v>0</v>
      </c>
      <c r="V8" s="1">
        <v>1</v>
      </c>
      <c r="W8" s="1">
        <v>0</v>
      </c>
      <c r="X8" s="1">
        <v>1</v>
      </c>
      <c r="Y8" s="1">
        <v>1</v>
      </c>
      <c r="Z8" s="1">
        <v>2</v>
      </c>
      <c r="AA8" s="1">
        <v>1</v>
      </c>
      <c r="AB8" s="1">
        <v>0</v>
      </c>
      <c r="AC8" s="1">
        <v>1</v>
      </c>
      <c r="AD8" s="1">
        <v>0</v>
      </c>
      <c r="AE8" s="1">
        <v>0</v>
      </c>
      <c r="AF8" s="1">
        <v>0</v>
      </c>
      <c r="AG8" s="1">
        <v>1</v>
      </c>
      <c r="AH8" s="1">
        <v>0</v>
      </c>
      <c r="AI8" s="1">
        <v>1</v>
      </c>
    </row>
    <row r="9" spans="1:35" x14ac:dyDescent="0.25">
      <c r="A9" s="1">
        <v>5</v>
      </c>
      <c r="B9" s="1" t="s">
        <v>104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2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3</v>
      </c>
      <c r="V9" s="1">
        <v>1</v>
      </c>
      <c r="W9" s="1">
        <v>1</v>
      </c>
      <c r="X9" s="1">
        <v>1</v>
      </c>
      <c r="Y9" s="1">
        <v>1</v>
      </c>
      <c r="Z9" s="1">
        <v>2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</row>
    <row r="10" spans="1:35" x14ac:dyDescent="0.25">
      <c r="A10" s="1">
        <v>6</v>
      </c>
      <c r="B10" s="1" t="s">
        <v>105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0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0</v>
      </c>
      <c r="X10" s="1">
        <v>1</v>
      </c>
      <c r="Y10" s="1">
        <v>1</v>
      </c>
      <c r="Z10" s="1">
        <v>2</v>
      </c>
      <c r="AA10" s="1">
        <v>1</v>
      </c>
      <c r="AB10" s="1">
        <v>1</v>
      </c>
      <c r="AC10" s="1">
        <v>1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1</v>
      </c>
    </row>
    <row r="11" spans="1:35" x14ac:dyDescent="0.25">
      <c r="A11" s="1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5" x14ac:dyDescent="0.25">
      <c r="A12" s="1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25">
      <c r="A13" s="1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25">
      <c r="A14" s="1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25">
      <c r="A15" s="1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25">
      <c r="A16" s="1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25">
      <c r="A17" s="1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25">
      <c r="A18" s="1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25">
      <c r="A19" s="1">
        <v>15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25">
      <c r="A20" s="1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x14ac:dyDescent="0.25">
      <c r="A21" s="1">
        <v>17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x14ac:dyDescent="0.25">
      <c r="A22" s="1">
        <v>18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x14ac:dyDescent="0.25">
      <c r="A23" s="1">
        <v>19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x14ac:dyDescent="0.25">
      <c r="A24" s="1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x14ac:dyDescent="0.25">
      <c r="A25" s="1">
        <v>21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x14ac:dyDescent="0.25">
      <c r="A26" s="1">
        <v>22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x14ac:dyDescent="0.25">
      <c r="A27" s="1">
        <v>23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x14ac:dyDescent="0.25">
      <c r="A28" s="1">
        <v>24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x14ac:dyDescent="0.25">
      <c r="A29" s="1">
        <v>25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x14ac:dyDescent="0.25">
      <c r="A30" s="1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x14ac:dyDescent="0.25">
      <c r="A31" s="1">
        <v>27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x14ac:dyDescent="0.25">
      <c r="A32" s="1">
        <v>28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:35" x14ac:dyDescent="0.25">
      <c r="A33" s="1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x14ac:dyDescent="0.25">
      <c r="A34" s="1">
        <v>30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x14ac:dyDescent="0.25">
      <c r="A35" s="1">
        <v>31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:35" x14ac:dyDescent="0.25">
      <c r="A36" s="1">
        <v>32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:35" x14ac:dyDescent="0.25">
      <c r="A37" s="1"/>
      <c r="B37" s="3" t="s">
        <v>24</v>
      </c>
      <c r="C37" s="3">
        <f>AVERAGE(C5:C36)</f>
        <v>1</v>
      </c>
      <c r="D37" s="3">
        <f t="shared" ref="D37:AC37" si="0">AVERAGE(D5:D36)</f>
        <v>1</v>
      </c>
      <c r="E37" s="3">
        <f t="shared" si="0"/>
        <v>1</v>
      </c>
      <c r="F37" s="3">
        <f t="shared" si="0"/>
        <v>0.66666666666666663</v>
      </c>
      <c r="G37" s="3">
        <f t="shared" si="0"/>
        <v>1</v>
      </c>
      <c r="H37" s="3">
        <f t="shared" si="0"/>
        <v>1.1666666666666667</v>
      </c>
      <c r="I37" s="3">
        <f t="shared" si="0"/>
        <v>0.83333333333333337</v>
      </c>
      <c r="J37" s="3">
        <f t="shared" si="0"/>
        <v>1</v>
      </c>
      <c r="K37" s="3">
        <f t="shared" si="0"/>
        <v>1</v>
      </c>
      <c r="L37" s="3">
        <f t="shared" si="0"/>
        <v>1</v>
      </c>
      <c r="M37" s="3">
        <f t="shared" si="0"/>
        <v>0.66666666666666663</v>
      </c>
      <c r="N37" s="3">
        <f t="shared" si="0"/>
        <v>0.16666666666666666</v>
      </c>
      <c r="O37" s="3">
        <f t="shared" si="0"/>
        <v>1</v>
      </c>
      <c r="P37" s="3">
        <f t="shared" si="0"/>
        <v>1</v>
      </c>
      <c r="Q37" s="3">
        <f t="shared" si="0"/>
        <v>1</v>
      </c>
      <c r="R37" s="3">
        <f t="shared" si="0"/>
        <v>0.66666666666666663</v>
      </c>
      <c r="S37" s="3">
        <f t="shared" si="0"/>
        <v>0.83333333333333337</v>
      </c>
      <c r="T37" s="3">
        <f t="shared" si="0"/>
        <v>1</v>
      </c>
      <c r="U37" s="3">
        <f t="shared" si="0"/>
        <v>2</v>
      </c>
      <c r="V37" s="3">
        <f t="shared" si="0"/>
        <v>0.66666666666666663</v>
      </c>
      <c r="W37" s="3">
        <f t="shared" si="0"/>
        <v>0.66666666666666663</v>
      </c>
      <c r="X37" s="3">
        <f t="shared" si="0"/>
        <v>1</v>
      </c>
      <c r="Y37" s="3">
        <f t="shared" si="0"/>
        <v>0.66666666666666663</v>
      </c>
      <c r="Z37" s="3">
        <f t="shared" si="0"/>
        <v>1.6666666666666667</v>
      </c>
      <c r="AA37" s="3">
        <f t="shared" si="0"/>
        <v>1</v>
      </c>
      <c r="AB37" s="3">
        <f t="shared" si="0"/>
        <v>0.66666666666666663</v>
      </c>
      <c r="AC37" s="3">
        <f t="shared" si="0"/>
        <v>0.83333333333333337</v>
      </c>
      <c r="AD37" s="3">
        <f>AVERAGE(AD5:AD36)</f>
        <v>0.33333333333333331</v>
      </c>
      <c r="AE37" s="3">
        <f t="shared" ref="AE37" si="1">AVERAGE(AE5:AE36)</f>
        <v>0.5</v>
      </c>
      <c r="AF37" s="3">
        <f t="shared" ref="AF37" si="2">AVERAGE(AF5:AF36)</f>
        <v>0.5</v>
      </c>
      <c r="AG37" s="3">
        <f t="shared" ref="AG37" si="3">AVERAGE(AG5:AG36)</f>
        <v>0.66666666666666663</v>
      </c>
      <c r="AH37" s="3">
        <f>AVERAGE(AH5:AH36)</f>
        <v>0.33333333333333331</v>
      </c>
      <c r="AI37" s="3">
        <f t="shared" ref="AI37" si="4">AVERAGE(AI5:AI36)</f>
        <v>1</v>
      </c>
    </row>
    <row r="38" spans="1:35" x14ac:dyDescent="0.25">
      <c r="A38" s="1"/>
      <c r="B38" s="1" t="s">
        <v>25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2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3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2</v>
      </c>
      <c r="AE38" s="1">
        <v>1</v>
      </c>
      <c r="AF38" s="1">
        <v>1</v>
      </c>
      <c r="AG38" s="1">
        <v>1</v>
      </c>
      <c r="AH38" s="1">
        <v>1</v>
      </c>
      <c r="AI38" s="1">
        <v>4</v>
      </c>
    </row>
    <row r="39" spans="1:35" x14ac:dyDescent="0.25">
      <c r="A39" s="1"/>
      <c r="B39" s="4" t="s">
        <v>26</v>
      </c>
      <c r="C39" s="4">
        <f>(C37/C38)*100</f>
        <v>100</v>
      </c>
      <c r="D39" s="4">
        <f t="shared" ref="D39:AI39" si="5">(D37/D38)*100</f>
        <v>100</v>
      </c>
      <c r="E39" s="4">
        <f t="shared" si="5"/>
        <v>100</v>
      </c>
      <c r="F39" s="4">
        <f t="shared" si="5"/>
        <v>66.666666666666657</v>
      </c>
      <c r="G39" s="4">
        <f t="shared" si="5"/>
        <v>100</v>
      </c>
      <c r="H39" s="4">
        <f t="shared" si="5"/>
        <v>116.66666666666667</v>
      </c>
      <c r="I39" s="4">
        <f t="shared" si="5"/>
        <v>83.333333333333343</v>
      </c>
      <c r="J39" s="4">
        <f t="shared" si="5"/>
        <v>100</v>
      </c>
      <c r="K39" s="4">
        <f t="shared" si="5"/>
        <v>50</v>
      </c>
      <c r="L39" s="4">
        <f t="shared" si="5"/>
        <v>100</v>
      </c>
      <c r="M39" s="4">
        <f t="shared" si="5"/>
        <v>66.666666666666657</v>
      </c>
      <c r="N39" s="4">
        <f t="shared" si="5"/>
        <v>16.666666666666664</v>
      </c>
      <c r="O39" s="4">
        <f t="shared" si="5"/>
        <v>100</v>
      </c>
      <c r="P39" s="4">
        <f t="shared" si="5"/>
        <v>100</v>
      </c>
      <c r="Q39" s="4">
        <f t="shared" si="5"/>
        <v>100</v>
      </c>
      <c r="R39" s="4">
        <f t="shared" si="5"/>
        <v>66.666666666666657</v>
      </c>
      <c r="S39" s="4">
        <f t="shared" si="5"/>
        <v>83.333333333333343</v>
      </c>
      <c r="T39" s="4">
        <f t="shared" si="5"/>
        <v>100</v>
      </c>
      <c r="U39" s="4">
        <f t="shared" si="5"/>
        <v>66.666666666666657</v>
      </c>
      <c r="V39" s="4">
        <f t="shared" si="5"/>
        <v>66.666666666666657</v>
      </c>
      <c r="W39" s="4">
        <f t="shared" si="5"/>
        <v>66.666666666666657</v>
      </c>
      <c r="X39" s="4">
        <f t="shared" si="5"/>
        <v>100</v>
      </c>
      <c r="Y39" s="4">
        <f t="shared" si="5"/>
        <v>66.666666666666657</v>
      </c>
      <c r="Z39" s="4">
        <f t="shared" si="5"/>
        <v>166.66666666666669</v>
      </c>
      <c r="AA39" s="4">
        <f t="shared" si="5"/>
        <v>100</v>
      </c>
      <c r="AB39" s="4">
        <f t="shared" si="5"/>
        <v>66.666666666666657</v>
      </c>
      <c r="AC39" s="4">
        <f t="shared" si="5"/>
        <v>83.333333333333343</v>
      </c>
      <c r="AD39" s="4">
        <f t="shared" si="5"/>
        <v>16.666666666666664</v>
      </c>
      <c r="AE39" s="4">
        <f t="shared" si="5"/>
        <v>50</v>
      </c>
      <c r="AF39" s="4">
        <f t="shared" si="5"/>
        <v>50</v>
      </c>
      <c r="AG39" s="4">
        <f t="shared" si="5"/>
        <v>66.666666666666657</v>
      </c>
      <c r="AH39" s="4">
        <f t="shared" si="5"/>
        <v>33.333333333333329</v>
      </c>
      <c r="AI39" s="4">
        <f t="shared" si="5"/>
        <v>25</v>
      </c>
    </row>
    <row r="40" spans="1:35" x14ac:dyDescent="0.25">
      <c r="A40" s="1"/>
      <c r="B40" s="1" t="s">
        <v>27</v>
      </c>
      <c r="C40" s="5" t="s">
        <v>84</v>
      </c>
      <c r="D40" s="5" t="s">
        <v>85</v>
      </c>
      <c r="E40" s="5" t="s">
        <v>86</v>
      </c>
      <c r="F40" s="5" t="s">
        <v>84</v>
      </c>
      <c r="G40" s="5" t="s">
        <v>85</v>
      </c>
      <c r="H40" s="5" t="s">
        <v>85</v>
      </c>
      <c r="I40" s="5" t="s">
        <v>84</v>
      </c>
      <c r="J40" s="5" t="s">
        <v>84</v>
      </c>
      <c r="K40" s="5" t="s">
        <v>87</v>
      </c>
      <c r="L40" s="5" t="s">
        <v>84</v>
      </c>
      <c r="M40" s="5" t="s">
        <v>85</v>
      </c>
      <c r="N40" s="5" t="s">
        <v>85</v>
      </c>
      <c r="O40" s="5" t="s">
        <v>85</v>
      </c>
      <c r="P40" s="5" t="s">
        <v>86</v>
      </c>
      <c r="Q40" s="5" t="s">
        <v>85</v>
      </c>
      <c r="R40" s="5" t="s">
        <v>85</v>
      </c>
      <c r="S40" s="5" t="s">
        <v>84</v>
      </c>
      <c r="T40" s="5" t="s">
        <v>86</v>
      </c>
      <c r="U40" s="5" t="s">
        <v>84</v>
      </c>
      <c r="V40" s="5" t="s">
        <v>85</v>
      </c>
      <c r="W40" s="5" t="s">
        <v>86</v>
      </c>
      <c r="X40" s="5" t="s">
        <v>84</v>
      </c>
      <c r="Y40" s="5" t="s">
        <v>84</v>
      </c>
      <c r="Z40" s="5" t="s">
        <v>84</v>
      </c>
      <c r="AA40" s="5" t="s">
        <v>85</v>
      </c>
      <c r="AB40" s="5" t="s">
        <v>86</v>
      </c>
      <c r="AC40" s="5" t="s">
        <v>85</v>
      </c>
      <c r="AD40" s="5" t="s">
        <v>84</v>
      </c>
      <c r="AE40" s="5" t="s">
        <v>86</v>
      </c>
      <c r="AF40" s="5" t="s">
        <v>84</v>
      </c>
      <c r="AG40" s="5" t="s">
        <v>84</v>
      </c>
      <c r="AH40" s="5" t="s">
        <v>86</v>
      </c>
      <c r="AI40" s="5" t="s">
        <v>85</v>
      </c>
    </row>
    <row r="41" spans="1:35" x14ac:dyDescent="0.25">
      <c r="B41" s="7" t="s">
        <v>29</v>
      </c>
      <c r="C41" s="8" t="s">
        <v>88</v>
      </c>
      <c r="D41" s="8" t="s">
        <v>88</v>
      </c>
      <c r="E41" s="8" t="s">
        <v>88</v>
      </c>
      <c r="F41" s="8" t="s">
        <v>88</v>
      </c>
      <c r="G41" s="8" t="s">
        <v>88</v>
      </c>
      <c r="H41" s="8" t="s">
        <v>89</v>
      </c>
      <c r="I41" s="8" t="s">
        <v>89</v>
      </c>
      <c r="J41" s="8" t="s">
        <v>89</v>
      </c>
      <c r="K41" s="8" t="s">
        <v>89</v>
      </c>
      <c r="L41" s="8" t="s">
        <v>89</v>
      </c>
      <c r="M41" s="8" t="s">
        <v>89</v>
      </c>
      <c r="N41" s="8" t="s">
        <v>90</v>
      </c>
      <c r="O41" s="8" t="s">
        <v>90</v>
      </c>
      <c r="P41" s="8" t="s">
        <v>90</v>
      </c>
      <c r="Q41" s="8" t="s">
        <v>90</v>
      </c>
      <c r="R41" s="8" t="s">
        <v>90</v>
      </c>
      <c r="S41" s="8" t="s">
        <v>90</v>
      </c>
      <c r="T41" s="8" t="s">
        <v>90</v>
      </c>
      <c r="U41" s="8" t="s">
        <v>90</v>
      </c>
      <c r="V41" s="8" t="s">
        <v>91</v>
      </c>
      <c r="W41" s="8" t="s">
        <v>91</v>
      </c>
      <c r="X41" s="8" t="s">
        <v>91</v>
      </c>
      <c r="Y41" s="8" t="s">
        <v>91</v>
      </c>
      <c r="Z41" s="8" t="s">
        <v>92</v>
      </c>
      <c r="AA41" s="8" t="s">
        <v>92</v>
      </c>
      <c r="AB41" s="8" t="s">
        <v>92</v>
      </c>
      <c r="AC41" s="8" t="s">
        <v>92</v>
      </c>
      <c r="AD41" s="8" t="s">
        <v>93</v>
      </c>
      <c r="AE41" s="8" t="s">
        <v>93</v>
      </c>
      <c r="AF41" s="8" t="s">
        <v>93</v>
      </c>
      <c r="AG41" s="8" t="s">
        <v>93</v>
      </c>
      <c r="AH41" s="8" t="s">
        <v>93</v>
      </c>
      <c r="AI41" s="8" t="s">
        <v>93</v>
      </c>
    </row>
    <row r="42" spans="1:35" x14ac:dyDescent="0.25">
      <c r="B42" s="1" t="s">
        <v>30</v>
      </c>
      <c r="C42" s="6" t="s">
        <v>32</v>
      </c>
      <c r="D42" s="6" t="s">
        <v>33</v>
      </c>
      <c r="E42" s="6" t="s">
        <v>33</v>
      </c>
      <c r="F42" s="6" t="s">
        <v>33</v>
      </c>
      <c r="G42" s="6" t="s">
        <v>33</v>
      </c>
      <c r="H42" s="6" t="s">
        <v>32</v>
      </c>
      <c r="I42" s="6" t="s">
        <v>33</v>
      </c>
      <c r="J42" s="6" t="s">
        <v>33</v>
      </c>
      <c r="K42" s="6" t="s">
        <v>33</v>
      </c>
      <c r="L42" s="6" t="s">
        <v>33</v>
      </c>
      <c r="M42" s="6" t="s">
        <v>33</v>
      </c>
      <c r="N42" s="6" t="s">
        <v>32</v>
      </c>
      <c r="O42" s="6" t="s">
        <v>33</v>
      </c>
      <c r="P42" s="6" t="s">
        <v>33</v>
      </c>
      <c r="Q42" s="6" t="s">
        <v>32</v>
      </c>
      <c r="R42" s="6" t="s">
        <v>33</v>
      </c>
      <c r="S42" s="6" t="s">
        <v>33</v>
      </c>
      <c r="T42" s="6" t="s">
        <v>33</v>
      </c>
      <c r="U42" s="6" t="s">
        <v>35</v>
      </c>
      <c r="V42" s="6" t="s">
        <v>33</v>
      </c>
      <c r="W42" s="6" t="s">
        <v>33</v>
      </c>
      <c r="X42" s="6" t="s">
        <v>82</v>
      </c>
      <c r="Y42" s="6" t="s">
        <v>33</v>
      </c>
      <c r="Z42" s="6" t="s">
        <v>82</v>
      </c>
      <c r="AA42" s="6" t="s">
        <v>33</v>
      </c>
      <c r="AB42" s="6" t="s">
        <v>33</v>
      </c>
      <c r="AC42" s="6" t="s">
        <v>33</v>
      </c>
      <c r="AD42" s="6" t="s">
        <v>33</v>
      </c>
      <c r="AE42" s="6" t="s">
        <v>33</v>
      </c>
      <c r="AF42" s="6" t="s">
        <v>33</v>
      </c>
      <c r="AG42" s="6" t="s">
        <v>32</v>
      </c>
      <c r="AH42" s="6" t="s">
        <v>32</v>
      </c>
      <c r="AI42" s="6" t="s">
        <v>35</v>
      </c>
    </row>
    <row r="43" spans="1:35" x14ac:dyDescent="0.25"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spans="1:35" x14ac:dyDescent="0.25">
      <c r="B44" s="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</row>
    <row r="46" spans="1:35" x14ac:dyDescent="0.25">
      <c r="B46" s="10"/>
      <c r="C46" s="10"/>
    </row>
  </sheetData>
  <mergeCells count="3">
    <mergeCell ref="B2:H2"/>
    <mergeCell ref="B1:H1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BAFA-C8C6-424A-A03C-99E177BA2DF9}">
  <dimension ref="A1:AL46"/>
  <sheetViews>
    <sheetView rightToLeft="1" topLeftCell="P1" zoomScaleNormal="100" workbookViewId="0">
      <pane ySplit="5244" topLeftCell="A34"/>
      <selection activeCell="AM10" sqref="AM10"/>
      <selection pane="bottomLeft" activeCell="AC41" sqref="AC41:AL41"/>
    </sheetView>
  </sheetViews>
  <sheetFormatPr defaultRowHeight="13.8" x14ac:dyDescent="0.25"/>
  <cols>
    <col min="1" max="1" width="2.8984375" bestFit="1" customWidth="1"/>
    <col min="2" max="2" width="19.19921875" customWidth="1"/>
    <col min="3" max="3" width="10" bestFit="1" customWidth="1"/>
    <col min="4" max="4" width="9.8984375" bestFit="1" customWidth="1"/>
    <col min="5" max="5" width="10" bestFit="1" customWidth="1"/>
    <col min="6" max="7" width="14.69921875" bestFit="1" customWidth="1"/>
    <col min="8" max="8" width="8.296875" bestFit="1" customWidth="1"/>
    <col min="9" max="9" width="11" bestFit="1" customWidth="1"/>
    <col min="10" max="11" width="10" bestFit="1" customWidth="1"/>
    <col min="12" max="12" width="9.8984375" bestFit="1" customWidth="1"/>
    <col min="13" max="13" width="10" bestFit="1" customWidth="1"/>
    <col min="14" max="14" width="8.09765625" bestFit="1" customWidth="1"/>
    <col min="15" max="15" width="11.09765625" bestFit="1" customWidth="1"/>
    <col min="17" max="17" width="10" bestFit="1" customWidth="1"/>
    <col min="19" max="19" width="10" customWidth="1"/>
    <col min="20" max="20" width="14.19921875" bestFit="1" customWidth="1"/>
    <col min="22" max="23" width="10" bestFit="1" customWidth="1"/>
    <col min="26" max="26" width="10" bestFit="1" customWidth="1"/>
    <col min="27" max="27" width="10.5" bestFit="1" customWidth="1"/>
    <col min="29" max="30" width="10" bestFit="1" customWidth="1"/>
    <col min="32" max="34" width="10" bestFit="1" customWidth="1"/>
  </cols>
  <sheetData>
    <row r="1" spans="1:38" x14ac:dyDescent="0.25">
      <c r="B1" s="10" t="s">
        <v>28</v>
      </c>
      <c r="C1" s="10"/>
      <c r="D1" s="10"/>
      <c r="E1" s="10"/>
      <c r="F1" s="10"/>
      <c r="G1" s="10"/>
      <c r="H1" s="10"/>
    </row>
    <row r="2" spans="1:38" x14ac:dyDescent="0.25">
      <c r="B2" s="10" t="s">
        <v>63</v>
      </c>
      <c r="C2" s="10"/>
      <c r="D2" s="10"/>
      <c r="E2" s="10"/>
      <c r="F2" s="10"/>
      <c r="G2" s="10"/>
      <c r="H2" s="10"/>
    </row>
    <row r="4" spans="1:38" x14ac:dyDescent="0.25">
      <c r="A4" s="2" t="s">
        <v>0</v>
      </c>
      <c r="B4" s="2" t="s">
        <v>23</v>
      </c>
      <c r="C4" s="2" t="s">
        <v>1</v>
      </c>
      <c r="D4" s="2" t="s">
        <v>64</v>
      </c>
      <c r="E4" s="2" t="s">
        <v>44</v>
      </c>
      <c r="F4" s="2" t="s">
        <v>2</v>
      </c>
      <c r="G4" s="2" t="s">
        <v>4</v>
      </c>
      <c r="H4" s="2" t="s">
        <v>3</v>
      </c>
      <c r="I4" s="2" t="s">
        <v>5</v>
      </c>
      <c r="J4" s="2" t="s">
        <v>6</v>
      </c>
      <c r="K4" s="2" t="s">
        <v>47</v>
      </c>
      <c r="L4" s="2" t="s">
        <v>7</v>
      </c>
      <c r="M4" s="2" t="s">
        <v>65</v>
      </c>
      <c r="N4" s="2" t="s">
        <v>8</v>
      </c>
      <c r="O4" s="2" t="s">
        <v>66</v>
      </c>
      <c r="P4" s="2" t="s">
        <v>67</v>
      </c>
      <c r="Q4" s="2" t="s">
        <v>10</v>
      </c>
      <c r="R4" s="2" t="s">
        <v>11</v>
      </c>
      <c r="S4" s="2" t="s">
        <v>12</v>
      </c>
      <c r="T4" s="2" t="s">
        <v>13</v>
      </c>
      <c r="U4" s="2" t="s">
        <v>14</v>
      </c>
      <c r="V4" s="2" t="s">
        <v>15</v>
      </c>
      <c r="W4" s="2" t="s">
        <v>68</v>
      </c>
      <c r="X4" s="2" t="s">
        <v>69</v>
      </c>
      <c r="Y4" s="2" t="s">
        <v>70</v>
      </c>
      <c r="Z4" s="2" t="s">
        <v>71</v>
      </c>
      <c r="AA4" s="2" t="s">
        <v>72</v>
      </c>
      <c r="AB4" s="2" t="s">
        <v>73</v>
      </c>
      <c r="AC4" s="2" t="s">
        <v>18</v>
      </c>
      <c r="AD4" s="2" t="s">
        <v>19</v>
      </c>
      <c r="AE4" s="2" t="s">
        <v>20</v>
      </c>
      <c r="AF4" s="2" t="s">
        <v>74</v>
      </c>
      <c r="AG4" s="2" t="s">
        <v>21</v>
      </c>
      <c r="AH4" s="2" t="s">
        <v>75</v>
      </c>
      <c r="AI4" s="2" t="s">
        <v>76</v>
      </c>
      <c r="AJ4" s="2" t="s">
        <v>77</v>
      </c>
      <c r="AK4" s="2" t="s">
        <v>78</v>
      </c>
      <c r="AL4" s="2" t="s">
        <v>22</v>
      </c>
    </row>
    <row r="5" spans="1:38" x14ac:dyDescent="0.25">
      <c r="A5" s="1">
        <v>1</v>
      </c>
      <c r="B5" s="1" t="s">
        <v>94</v>
      </c>
      <c r="C5" s="1">
        <v>0</v>
      </c>
      <c r="D5" s="1">
        <v>0</v>
      </c>
      <c r="E5" s="1">
        <v>1</v>
      </c>
      <c r="F5" s="1">
        <v>1</v>
      </c>
      <c r="G5" s="1">
        <v>1</v>
      </c>
      <c r="H5" s="1">
        <v>1</v>
      </c>
      <c r="I5" s="1">
        <v>2</v>
      </c>
      <c r="J5" s="1">
        <v>1</v>
      </c>
      <c r="K5" s="1">
        <v>0</v>
      </c>
      <c r="L5" s="1">
        <v>2</v>
      </c>
      <c r="M5" s="1">
        <v>1</v>
      </c>
      <c r="N5" s="1">
        <v>3</v>
      </c>
      <c r="O5" s="1">
        <v>1</v>
      </c>
      <c r="P5" s="1">
        <v>1</v>
      </c>
      <c r="Q5" s="1">
        <v>1</v>
      </c>
      <c r="R5" s="1">
        <v>0</v>
      </c>
      <c r="S5" s="1">
        <v>1</v>
      </c>
      <c r="T5" s="1">
        <v>2</v>
      </c>
      <c r="U5" s="1">
        <v>1</v>
      </c>
      <c r="V5" s="1">
        <v>1</v>
      </c>
      <c r="W5" s="1">
        <v>0</v>
      </c>
      <c r="X5" s="1">
        <v>0</v>
      </c>
      <c r="Y5" s="1">
        <v>1</v>
      </c>
      <c r="Z5" s="1">
        <v>0</v>
      </c>
      <c r="AA5" s="1">
        <v>2</v>
      </c>
      <c r="AB5" s="1">
        <v>0</v>
      </c>
      <c r="AC5" s="1">
        <v>1</v>
      </c>
      <c r="AD5" s="1">
        <v>1</v>
      </c>
      <c r="AE5" s="1">
        <v>2</v>
      </c>
      <c r="AF5" s="1">
        <v>1</v>
      </c>
      <c r="AG5" s="1">
        <v>0</v>
      </c>
      <c r="AH5" s="1">
        <v>1</v>
      </c>
      <c r="AI5" s="1">
        <v>1</v>
      </c>
      <c r="AJ5" s="9">
        <v>0</v>
      </c>
      <c r="AK5" s="9">
        <v>1</v>
      </c>
      <c r="AL5" s="9">
        <v>1</v>
      </c>
    </row>
    <row r="6" spans="1:38" x14ac:dyDescent="0.25">
      <c r="A6" s="1">
        <v>2</v>
      </c>
      <c r="B6" s="1" t="s">
        <v>95</v>
      </c>
      <c r="C6" s="1">
        <v>1</v>
      </c>
      <c r="D6" s="1">
        <v>2</v>
      </c>
      <c r="E6" s="1">
        <v>1</v>
      </c>
      <c r="F6" s="1">
        <v>2</v>
      </c>
      <c r="G6" s="1">
        <v>1</v>
      </c>
      <c r="H6" s="1">
        <v>2</v>
      </c>
      <c r="I6" s="1">
        <v>2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0</v>
      </c>
      <c r="S6" s="1">
        <v>1</v>
      </c>
      <c r="T6" s="1">
        <v>0</v>
      </c>
      <c r="U6" s="1">
        <v>1</v>
      </c>
      <c r="V6" s="1">
        <v>1</v>
      </c>
      <c r="W6" s="1">
        <v>1</v>
      </c>
      <c r="X6" s="1">
        <v>0</v>
      </c>
      <c r="Y6" s="1">
        <v>0</v>
      </c>
      <c r="Z6" s="1">
        <v>0</v>
      </c>
      <c r="AA6" s="1">
        <v>2</v>
      </c>
      <c r="AB6" s="1">
        <v>2</v>
      </c>
      <c r="AC6" s="1">
        <v>0</v>
      </c>
      <c r="AD6" s="1">
        <v>0</v>
      </c>
      <c r="AE6" s="1">
        <v>1</v>
      </c>
      <c r="AF6" s="1">
        <v>1</v>
      </c>
      <c r="AG6" s="1">
        <v>1</v>
      </c>
      <c r="AH6" s="1">
        <v>1</v>
      </c>
      <c r="AI6" s="1">
        <v>0</v>
      </c>
      <c r="AJ6" s="9">
        <v>0</v>
      </c>
      <c r="AK6" s="9">
        <v>1</v>
      </c>
      <c r="AL6" s="9">
        <v>1</v>
      </c>
    </row>
    <row r="7" spans="1:38" x14ac:dyDescent="0.25">
      <c r="A7" s="1">
        <v>3</v>
      </c>
      <c r="B7" s="1" t="s">
        <v>96</v>
      </c>
      <c r="C7" s="1">
        <v>1</v>
      </c>
      <c r="D7" s="1">
        <v>0</v>
      </c>
      <c r="E7" s="1">
        <v>1</v>
      </c>
      <c r="F7" s="1">
        <v>2</v>
      </c>
      <c r="G7" s="1">
        <v>1</v>
      </c>
      <c r="H7" s="1">
        <v>2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1</v>
      </c>
      <c r="R7" s="1">
        <v>0</v>
      </c>
      <c r="S7" s="1">
        <v>1</v>
      </c>
      <c r="T7" s="1">
        <v>0</v>
      </c>
      <c r="U7" s="1">
        <v>1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2</v>
      </c>
      <c r="AF7" s="1">
        <v>0</v>
      </c>
      <c r="AG7" s="1">
        <v>0</v>
      </c>
      <c r="AH7" s="1">
        <v>1</v>
      </c>
      <c r="AI7" s="1">
        <v>0</v>
      </c>
      <c r="AJ7" s="9">
        <v>0</v>
      </c>
      <c r="AK7" s="9">
        <v>0</v>
      </c>
      <c r="AL7" s="9">
        <v>0</v>
      </c>
    </row>
    <row r="8" spans="1:38" x14ac:dyDescent="0.25">
      <c r="A8" s="1">
        <v>4</v>
      </c>
      <c r="B8" s="1" t="s">
        <v>97</v>
      </c>
      <c r="C8" s="1">
        <v>1</v>
      </c>
      <c r="D8" s="1">
        <v>0</v>
      </c>
      <c r="E8" s="1">
        <v>1</v>
      </c>
      <c r="F8" s="1">
        <v>2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L8" s="1">
        <v>2</v>
      </c>
      <c r="M8" s="1">
        <v>0</v>
      </c>
      <c r="N8" s="1">
        <v>1</v>
      </c>
      <c r="O8" s="1">
        <v>1</v>
      </c>
      <c r="P8" s="1">
        <v>0</v>
      </c>
      <c r="Q8" s="1">
        <v>0</v>
      </c>
      <c r="R8" s="1">
        <v>2</v>
      </c>
      <c r="S8" s="1">
        <v>0</v>
      </c>
      <c r="T8" s="1">
        <v>1</v>
      </c>
      <c r="U8" s="1">
        <v>1</v>
      </c>
      <c r="V8" s="1">
        <v>1</v>
      </c>
      <c r="W8" s="1">
        <v>1</v>
      </c>
      <c r="X8" s="1">
        <v>0</v>
      </c>
      <c r="Y8" s="1">
        <v>0</v>
      </c>
      <c r="Z8" s="1">
        <v>1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9">
        <v>0</v>
      </c>
      <c r="AK8" s="9">
        <v>0</v>
      </c>
      <c r="AL8" s="9">
        <v>0</v>
      </c>
    </row>
    <row r="9" spans="1:38" x14ac:dyDescent="0.25">
      <c r="A9" s="1">
        <v>5</v>
      </c>
      <c r="B9" s="1" t="s">
        <v>98</v>
      </c>
      <c r="C9" s="1">
        <v>1</v>
      </c>
      <c r="D9" s="1">
        <v>1</v>
      </c>
      <c r="E9" s="1">
        <v>1</v>
      </c>
      <c r="F9" s="1">
        <v>2</v>
      </c>
      <c r="G9" s="1">
        <v>1</v>
      </c>
      <c r="H9" s="1">
        <v>2</v>
      </c>
      <c r="I9" s="1">
        <v>2</v>
      </c>
      <c r="J9" s="1">
        <v>1</v>
      </c>
      <c r="K9" s="1">
        <v>2</v>
      </c>
      <c r="L9" s="1">
        <v>3</v>
      </c>
      <c r="M9" s="1">
        <v>1</v>
      </c>
      <c r="N9" s="1">
        <v>4</v>
      </c>
      <c r="O9" s="1">
        <v>1</v>
      </c>
      <c r="P9" s="1">
        <v>1</v>
      </c>
      <c r="Q9" s="1">
        <v>1</v>
      </c>
      <c r="R9" s="1">
        <v>4</v>
      </c>
      <c r="S9" s="1">
        <v>1</v>
      </c>
      <c r="T9" s="1">
        <v>3</v>
      </c>
      <c r="U9" s="1">
        <v>1</v>
      </c>
      <c r="V9" s="1">
        <v>1</v>
      </c>
      <c r="W9" s="1">
        <v>1</v>
      </c>
      <c r="X9" s="1">
        <v>0</v>
      </c>
      <c r="Y9" s="1">
        <v>0</v>
      </c>
      <c r="Z9" s="1">
        <v>2</v>
      </c>
      <c r="AA9" s="1">
        <v>2</v>
      </c>
      <c r="AB9" s="1">
        <v>2</v>
      </c>
      <c r="AC9" s="1">
        <v>1</v>
      </c>
      <c r="AD9" s="1">
        <v>1</v>
      </c>
      <c r="AE9" s="1">
        <v>2</v>
      </c>
      <c r="AF9" s="1">
        <v>1</v>
      </c>
      <c r="AG9" s="1">
        <v>3</v>
      </c>
      <c r="AH9" s="1">
        <v>1</v>
      </c>
      <c r="AI9" s="1">
        <v>0</v>
      </c>
      <c r="AJ9" s="9">
        <v>1</v>
      </c>
      <c r="AK9" s="9">
        <v>1</v>
      </c>
      <c r="AL9" s="9">
        <v>3</v>
      </c>
    </row>
    <row r="10" spans="1:38" x14ac:dyDescent="0.25">
      <c r="A10" s="1">
        <v>6</v>
      </c>
      <c r="B10" s="1" t="s">
        <v>99</v>
      </c>
      <c r="C10" s="1">
        <v>1</v>
      </c>
      <c r="D10" s="1">
        <v>2</v>
      </c>
      <c r="E10" s="1">
        <v>1</v>
      </c>
      <c r="F10" s="1">
        <v>2</v>
      </c>
      <c r="G10" s="1">
        <v>1</v>
      </c>
      <c r="H10" s="1">
        <v>2</v>
      </c>
      <c r="I10" s="1">
        <v>2</v>
      </c>
      <c r="J10" s="1">
        <v>0</v>
      </c>
      <c r="K10" s="1">
        <v>2</v>
      </c>
      <c r="L10" s="1">
        <v>3</v>
      </c>
      <c r="M10" s="1">
        <v>1</v>
      </c>
      <c r="N10" s="1">
        <v>4</v>
      </c>
      <c r="O10" s="1">
        <v>1</v>
      </c>
      <c r="P10" s="1">
        <v>1</v>
      </c>
      <c r="Q10" s="1">
        <v>1</v>
      </c>
      <c r="R10" s="1">
        <v>4</v>
      </c>
      <c r="S10" s="1">
        <v>1</v>
      </c>
      <c r="T10" s="1">
        <v>3</v>
      </c>
      <c r="U10" s="1">
        <v>1</v>
      </c>
      <c r="V10" s="1">
        <v>1</v>
      </c>
      <c r="W10" s="1">
        <v>1</v>
      </c>
      <c r="X10" s="1">
        <v>1</v>
      </c>
      <c r="Y10" s="1">
        <v>0</v>
      </c>
      <c r="Z10" s="1">
        <v>2</v>
      </c>
      <c r="AA10" s="1">
        <v>2</v>
      </c>
      <c r="AB10" s="1">
        <v>2</v>
      </c>
      <c r="AC10" s="1">
        <v>1</v>
      </c>
      <c r="AD10" s="1">
        <v>2</v>
      </c>
      <c r="AE10" s="1">
        <v>2</v>
      </c>
      <c r="AF10" s="1">
        <v>1</v>
      </c>
      <c r="AG10" s="1">
        <v>3</v>
      </c>
      <c r="AH10" s="1">
        <v>1</v>
      </c>
      <c r="AI10" s="1">
        <v>1</v>
      </c>
      <c r="AJ10" s="9">
        <v>1</v>
      </c>
      <c r="AK10" s="9">
        <v>1</v>
      </c>
      <c r="AL10" s="9">
        <v>3</v>
      </c>
    </row>
    <row r="11" spans="1:38" x14ac:dyDescent="0.25">
      <c r="A11" s="1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9"/>
      <c r="AK11" s="9"/>
      <c r="AL11" s="9"/>
    </row>
    <row r="12" spans="1:38" x14ac:dyDescent="0.25">
      <c r="A12" s="1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9"/>
      <c r="AK12" s="9"/>
      <c r="AL12" s="9"/>
    </row>
    <row r="13" spans="1:38" x14ac:dyDescent="0.25">
      <c r="A13" s="1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9"/>
      <c r="AK13" s="9"/>
      <c r="AL13" s="9"/>
    </row>
    <row r="14" spans="1:38" x14ac:dyDescent="0.25">
      <c r="A14" s="1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9"/>
      <c r="AK14" s="9"/>
      <c r="AL14" s="9"/>
    </row>
    <row r="15" spans="1:38" x14ac:dyDescent="0.25">
      <c r="A15" s="1">
        <v>11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9"/>
      <c r="AK15" s="9"/>
      <c r="AL15" s="9"/>
    </row>
    <row r="16" spans="1:38" x14ac:dyDescent="0.25">
      <c r="A16" s="1">
        <v>12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9"/>
      <c r="AK16" s="9"/>
      <c r="AL16" s="9"/>
    </row>
    <row r="17" spans="1:38" x14ac:dyDescent="0.25">
      <c r="A17" s="1">
        <v>13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9"/>
      <c r="AK17" s="9"/>
      <c r="AL17" s="9"/>
    </row>
    <row r="18" spans="1:38" x14ac:dyDescent="0.25">
      <c r="A18" s="1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9"/>
      <c r="AK18" s="9"/>
      <c r="AL18" s="9"/>
    </row>
    <row r="19" spans="1:38" x14ac:dyDescent="0.25">
      <c r="A19" s="1">
        <v>15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9"/>
      <c r="AK19" s="9"/>
      <c r="AL19" s="9"/>
    </row>
    <row r="20" spans="1:38" x14ac:dyDescent="0.25">
      <c r="A20" s="1">
        <v>16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9"/>
      <c r="AK20" s="9"/>
      <c r="AL20" s="9"/>
    </row>
    <row r="21" spans="1:38" x14ac:dyDescent="0.25">
      <c r="A21" s="1">
        <v>17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9"/>
      <c r="AK21" s="9"/>
      <c r="AL21" s="9"/>
    </row>
    <row r="22" spans="1:38" x14ac:dyDescent="0.25">
      <c r="A22" s="1">
        <v>18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9"/>
      <c r="AK22" s="9"/>
      <c r="AL22" s="9"/>
    </row>
    <row r="23" spans="1:38" x14ac:dyDescent="0.25">
      <c r="A23" s="1">
        <v>19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9"/>
      <c r="AK23" s="9"/>
      <c r="AL23" s="9"/>
    </row>
    <row r="24" spans="1:38" x14ac:dyDescent="0.25">
      <c r="A24" s="1">
        <v>20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9"/>
      <c r="AK24" s="9"/>
      <c r="AL24" s="9"/>
    </row>
    <row r="25" spans="1:38" x14ac:dyDescent="0.25">
      <c r="A25" s="1">
        <v>21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9"/>
      <c r="AK25" s="9"/>
      <c r="AL25" s="9"/>
    </row>
    <row r="26" spans="1:38" x14ac:dyDescent="0.25">
      <c r="A26" s="1">
        <v>22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9"/>
      <c r="AK26" s="9"/>
      <c r="AL26" s="9"/>
    </row>
    <row r="27" spans="1:38" x14ac:dyDescent="0.25">
      <c r="A27" s="1">
        <v>23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9"/>
      <c r="AK27" s="9"/>
      <c r="AL27" s="9"/>
    </row>
    <row r="28" spans="1:38" x14ac:dyDescent="0.25">
      <c r="A28" s="1">
        <v>24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9"/>
      <c r="AK28" s="9"/>
      <c r="AL28" s="9"/>
    </row>
    <row r="29" spans="1:38" x14ac:dyDescent="0.25">
      <c r="A29" s="1">
        <v>25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9"/>
      <c r="AK29" s="9"/>
      <c r="AL29" s="9"/>
    </row>
    <row r="30" spans="1:38" x14ac:dyDescent="0.25">
      <c r="A30" s="1">
        <v>26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9"/>
      <c r="AK30" s="9"/>
      <c r="AL30" s="9"/>
    </row>
    <row r="31" spans="1:38" x14ac:dyDescent="0.25">
      <c r="A31" s="1">
        <v>27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9"/>
      <c r="AK31" s="9"/>
      <c r="AL31" s="9"/>
    </row>
    <row r="32" spans="1:38" x14ac:dyDescent="0.25">
      <c r="A32" s="1">
        <v>28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9"/>
      <c r="AK32" s="9"/>
      <c r="AL32" s="9"/>
    </row>
    <row r="33" spans="1:38" x14ac:dyDescent="0.25">
      <c r="A33" s="1">
        <v>29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9"/>
      <c r="AK33" s="9"/>
      <c r="AL33" s="9"/>
    </row>
    <row r="34" spans="1:38" x14ac:dyDescent="0.25">
      <c r="A34" s="1">
        <v>30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9"/>
      <c r="AK34" s="9"/>
      <c r="AL34" s="9"/>
    </row>
    <row r="35" spans="1:38" x14ac:dyDescent="0.25">
      <c r="A35" s="1">
        <v>31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9"/>
      <c r="AK35" s="9"/>
      <c r="AL35" s="9"/>
    </row>
    <row r="36" spans="1:38" x14ac:dyDescent="0.25">
      <c r="A36" s="1">
        <v>32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9"/>
      <c r="AK36" s="9"/>
      <c r="AL36" s="9"/>
    </row>
    <row r="37" spans="1:38" x14ac:dyDescent="0.25">
      <c r="A37" s="1"/>
      <c r="B37" s="3" t="s">
        <v>24</v>
      </c>
      <c r="C37" s="3">
        <f>AVERAGE(C5:C36)</f>
        <v>0.83333333333333337</v>
      </c>
      <c r="D37" s="3">
        <f t="shared" ref="D37:AC37" si="0">AVERAGE(D5:D36)</f>
        <v>0.83333333333333337</v>
      </c>
      <c r="E37" s="3">
        <f t="shared" si="0"/>
        <v>1</v>
      </c>
      <c r="F37" s="3">
        <f t="shared" si="0"/>
        <v>1.8333333333333333</v>
      </c>
      <c r="G37" s="3">
        <f t="shared" si="0"/>
        <v>1</v>
      </c>
      <c r="H37" s="3">
        <f t="shared" si="0"/>
        <v>1.5</v>
      </c>
      <c r="I37" s="3">
        <f t="shared" si="0"/>
        <v>1.3333333333333333</v>
      </c>
      <c r="J37" s="3">
        <f t="shared" si="0"/>
        <v>0.66666666666666663</v>
      </c>
      <c r="K37" s="3">
        <f t="shared" si="0"/>
        <v>0.83333333333333337</v>
      </c>
      <c r="L37" s="3">
        <f t="shared" si="0"/>
        <v>1.8333333333333333</v>
      </c>
      <c r="M37" s="3">
        <f t="shared" si="0"/>
        <v>0.66666666666666663</v>
      </c>
      <c r="N37" s="3">
        <f t="shared" si="0"/>
        <v>2.1666666666666665</v>
      </c>
      <c r="O37" s="3">
        <f t="shared" si="0"/>
        <v>1</v>
      </c>
      <c r="P37" s="3">
        <f t="shared" si="0"/>
        <v>0.66666666666666663</v>
      </c>
      <c r="Q37" s="3">
        <f t="shared" si="0"/>
        <v>0.83333333333333337</v>
      </c>
      <c r="R37" s="3">
        <f t="shared" si="0"/>
        <v>1.6666666666666667</v>
      </c>
      <c r="S37" s="3">
        <f t="shared" si="0"/>
        <v>0.83333333333333337</v>
      </c>
      <c r="T37" s="3">
        <f t="shared" si="0"/>
        <v>1.5</v>
      </c>
      <c r="U37" s="3">
        <f t="shared" si="0"/>
        <v>1</v>
      </c>
      <c r="V37" s="3">
        <f t="shared" si="0"/>
        <v>1</v>
      </c>
      <c r="W37" s="3">
        <f t="shared" si="0"/>
        <v>0.66666666666666663</v>
      </c>
      <c r="X37" s="3">
        <f t="shared" si="0"/>
        <v>0.16666666666666666</v>
      </c>
      <c r="Y37" s="3">
        <f t="shared" si="0"/>
        <v>0.16666666666666666</v>
      </c>
      <c r="Z37" s="3">
        <f t="shared" si="0"/>
        <v>0.83333333333333337</v>
      </c>
      <c r="AA37" s="3">
        <f t="shared" si="0"/>
        <v>1.3333333333333333</v>
      </c>
      <c r="AB37" s="3">
        <f t="shared" si="0"/>
        <v>1</v>
      </c>
      <c r="AC37" s="3">
        <f t="shared" si="0"/>
        <v>0.5</v>
      </c>
      <c r="AD37" s="3">
        <f>AVERAGE(AD5:AD36)</f>
        <v>0.66666666666666663</v>
      </c>
      <c r="AE37" s="3">
        <f t="shared" ref="AE37:AG37" si="1">AVERAGE(AE5:AE36)</f>
        <v>1.6666666666666667</v>
      </c>
      <c r="AF37" s="3">
        <f t="shared" si="1"/>
        <v>0.66666666666666663</v>
      </c>
      <c r="AG37" s="3">
        <f t="shared" si="1"/>
        <v>1.1666666666666667</v>
      </c>
      <c r="AH37" s="3">
        <f>AVERAGE(AH5:AH36)</f>
        <v>0.83333333333333337</v>
      </c>
      <c r="AI37" s="3">
        <f t="shared" ref="AI37:AL37" si="2">AVERAGE(AI5:AI36)</f>
        <v>0.33333333333333331</v>
      </c>
      <c r="AJ37" s="3">
        <f t="shared" si="2"/>
        <v>0.33333333333333331</v>
      </c>
      <c r="AK37" s="3">
        <f t="shared" si="2"/>
        <v>0.66666666666666663</v>
      </c>
      <c r="AL37" s="3">
        <f t="shared" si="2"/>
        <v>1.3333333333333333</v>
      </c>
    </row>
    <row r="38" spans="1:38" x14ac:dyDescent="0.25">
      <c r="A38" s="1"/>
      <c r="B38" s="1" t="s">
        <v>25</v>
      </c>
      <c r="C38" s="1">
        <v>1</v>
      </c>
      <c r="D38" s="1">
        <v>2</v>
      </c>
      <c r="E38" s="1">
        <v>1</v>
      </c>
      <c r="F38" s="1">
        <v>2</v>
      </c>
      <c r="G38" s="1">
        <v>1</v>
      </c>
      <c r="H38" s="1">
        <v>2</v>
      </c>
      <c r="I38" s="1">
        <v>2</v>
      </c>
      <c r="J38" s="1">
        <v>1</v>
      </c>
      <c r="K38" s="1">
        <v>2</v>
      </c>
      <c r="L38" s="1">
        <v>3</v>
      </c>
      <c r="M38" s="1">
        <v>1</v>
      </c>
      <c r="N38" s="1">
        <v>4</v>
      </c>
      <c r="O38" s="1">
        <v>1</v>
      </c>
      <c r="P38" s="1">
        <v>1</v>
      </c>
      <c r="Q38" s="1">
        <v>1</v>
      </c>
      <c r="R38" s="1">
        <v>4</v>
      </c>
      <c r="S38" s="1">
        <v>1</v>
      </c>
      <c r="T38" s="1">
        <v>3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2</v>
      </c>
      <c r="AA38" s="1">
        <v>2</v>
      </c>
      <c r="AB38" s="1">
        <v>2</v>
      </c>
      <c r="AC38" s="1">
        <v>1</v>
      </c>
      <c r="AD38" s="1">
        <v>2</v>
      </c>
      <c r="AE38" s="1">
        <v>2</v>
      </c>
      <c r="AF38" s="1">
        <v>1</v>
      </c>
      <c r="AG38" s="1">
        <v>3</v>
      </c>
      <c r="AH38" s="1">
        <v>1</v>
      </c>
      <c r="AI38" s="1">
        <v>1</v>
      </c>
      <c r="AJ38" s="9">
        <v>1</v>
      </c>
      <c r="AK38" s="9">
        <v>1</v>
      </c>
      <c r="AL38" s="9">
        <v>3</v>
      </c>
    </row>
    <row r="39" spans="1:38" x14ac:dyDescent="0.25">
      <c r="A39" s="1"/>
      <c r="B39" s="4" t="s">
        <v>26</v>
      </c>
      <c r="C39" s="4">
        <f>(C37/C38)*100</f>
        <v>83.333333333333343</v>
      </c>
      <c r="D39" s="4">
        <f t="shared" ref="D39:AL39" si="3">(D37/D38)*100</f>
        <v>41.666666666666671</v>
      </c>
      <c r="E39" s="4">
        <f t="shared" si="3"/>
        <v>100</v>
      </c>
      <c r="F39" s="4">
        <f t="shared" si="3"/>
        <v>91.666666666666657</v>
      </c>
      <c r="G39" s="4">
        <f t="shared" si="3"/>
        <v>100</v>
      </c>
      <c r="H39" s="4">
        <f t="shared" si="3"/>
        <v>75</v>
      </c>
      <c r="I39" s="4">
        <f t="shared" si="3"/>
        <v>66.666666666666657</v>
      </c>
      <c r="J39" s="4">
        <f t="shared" si="3"/>
        <v>66.666666666666657</v>
      </c>
      <c r="K39" s="4">
        <f t="shared" si="3"/>
        <v>41.666666666666671</v>
      </c>
      <c r="L39" s="4">
        <f t="shared" si="3"/>
        <v>61.111111111111107</v>
      </c>
      <c r="M39" s="4">
        <f t="shared" si="3"/>
        <v>66.666666666666657</v>
      </c>
      <c r="N39" s="4">
        <f t="shared" si="3"/>
        <v>54.166666666666664</v>
      </c>
      <c r="O39" s="4">
        <f t="shared" si="3"/>
        <v>100</v>
      </c>
      <c r="P39" s="4">
        <f t="shared" si="3"/>
        <v>66.666666666666657</v>
      </c>
      <c r="Q39" s="4">
        <f t="shared" si="3"/>
        <v>83.333333333333343</v>
      </c>
      <c r="R39" s="4">
        <f t="shared" si="3"/>
        <v>41.666666666666671</v>
      </c>
      <c r="S39" s="4">
        <f t="shared" si="3"/>
        <v>83.333333333333343</v>
      </c>
      <c r="T39" s="4">
        <f t="shared" si="3"/>
        <v>50</v>
      </c>
      <c r="U39" s="4">
        <f t="shared" si="3"/>
        <v>100</v>
      </c>
      <c r="V39" s="4">
        <f t="shared" si="3"/>
        <v>100</v>
      </c>
      <c r="W39" s="4">
        <f t="shared" si="3"/>
        <v>66.666666666666657</v>
      </c>
      <c r="X39" s="4">
        <f t="shared" si="3"/>
        <v>16.666666666666664</v>
      </c>
      <c r="Y39" s="4">
        <f t="shared" si="3"/>
        <v>16.666666666666664</v>
      </c>
      <c r="Z39" s="4">
        <f t="shared" si="3"/>
        <v>41.666666666666671</v>
      </c>
      <c r="AA39" s="4">
        <f t="shared" si="3"/>
        <v>66.666666666666657</v>
      </c>
      <c r="AB39" s="4">
        <f t="shared" si="3"/>
        <v>50</v>
      </c>
      <c r="AC39" s="4">
        <f t="shared" si="3"/>
        <v>50</v>
      </c>
      <c r="AD39" s="4">
        <f t="shared" si="3"/>
        <v>33.333333333333329</v>
      </c>
      <c r="AE39" s="4">
        <f t="shared" si="3"/>
        <v>83.333333333333343</v>
      </c>
      <c r="AF39" s="4">
        <f t="shared" si="3"/>
        <v>66.666666666666657</v>
      </c>
      <c r="AG39" s="4">
        <f t="shared" si="3"/>
        <v>38.888888888888893</v>
      </c>
      <c r="AH39" s="4">
        <f t="shared" si="3"/>
        <v>83.333333333333343</v>
      </c>
      <c r="AI39" s="4">
        <f t="shared" si="3"/>
        <v>33.333333333333329</v>
      </c>
      <c r="AJ39" s="4">
        <f t="shared" si="3"/>
        <v>33.333333333333329</v>
      </c>
      <c r="AK39" s="4">
        <f t="shared" si="3"/>
        <v>66.666666666666657</v>
      </c>
      <c r="AL39" s="4">
        <f t="shared" si="3"/>
        <v>44.444444444444443</v>
      </c>
    </row>
    <row r="40" spans="1:38" x14ac:dyDescent="0.25">
      <c r="A40" s="1"/>
      <c r="B40" s="1" t="s">
        <v>27</v>
      </c>
      <c r="C40" s="5" t="s">
        <v>84</v>
      </c>
      <c r="D40" s="5" t="s">
        <v>85</v>
      </c>
      <c r="E40" s="5" t="s">
        <v>85</v>
      </c>
      <c r="F40" s="5" t="s">
        <v>84</v>
      </c>
      <c r="G40" s="5" t="s">
        <v>86</v>
      </c>
      <c r="H40" s="5" t="s">
        <v>86</v>
      </c>
      <c r="I40" s="5" t="s">
        <v>84</v>
      </c>
      <c r="J40" s="5" t="s">
        <v>84</v>
      </c>
      <c r="K40" s="5" t="s">
        <v>84</v>
      </c>
      <c r="L40" s="5" t="s">
        <v>85</v>
      </c>
      <c r="M40" s="5" t="s">
        <v>84</v>
      </c>
      <c r="N40" s="5" t="s">
        <v>85</v>
      </c>
      <c r="O40" s="5" t="s">
        <v>86</v>
      </c>
      <c r="P40" s="5" t="s">
        <v>86</v>
      </c>
      <c r="Q40" s="5" t="s">
        <v>85</v>
      </c>
      <c r="R40" s="5" t="s">
        <v>84</v>
      </c>
      <c r="S40" s="5" t="s">
        <v>84</v>
      </c>
      <c r="T40" s="5" t="s">
        <v>84</v>
      </c>
      <c r="U40" s="5" t="s">
        <v>84</v>
      </c>
      <c r="V40" s="5" t="s">
        <v>85</v>
      </c>
      <c r="W40" s="5" t="s">
        <v>84</v>
      </c>
      <c r="X40" s="5" t="s">
        <v>85</v>
      </c>
      <c r="Y40" s="5" t="s">
        <v>84</v>
      </c>
      <c r="Z40" s="5" t="s">
        <v>85</v>
      </c>
      <c r="AA40" s="5" t="s">
        <v>86</v>
      </c>
      <c r="AB40" s="5" t="s">
        <v>86</v>
      </c>
      <c r="AC40" s="5" t="s">
        <v>84</v>
      </c>
      <c r="AD40" s="5" t="s">
        <v>84</v>
      </c>
      <c r="AE40" s="5" t="s">
        <v>85</v>
      </c>
      <c r="AF40" s="5" t="s">
        <v>85</v>
      </c>
      <c r="AG40" s="5" t="s">
        <v>84</v>
      </c>
      <c r="AH40" s="5" t="s">
        <v>85</v>
      </c>
      <c r="AI40" s="5" t="s">
        <v>85</v>
      </c>
      <c r="AJ40" s="9" t="s">
        <v>85</v>
      </c>
      <c r="AK40" s="9" t="s">
        <v>85</v>
      </c>
      <c r="AL40" s="9" t="s">
        <v>84</v>
      </c>
    </row>
    <row r="41" spans="1:38" x14ac:dyDescent="0.25">
      <c r="B41" s="7" t="s">
        <v>29</v>
      </c>
      <c r="C41" s="8" t="s">
        <v>88</v>
      </c>
      <c r="D41" s="8" t="s">
        <v>88</v>
      </c>
      <c r="E41" s="8" t="s">
        <v>88</v>
      </c>
      <c r="F41" s="8" t="s">
        <v>88</v>
      </c>
      <c r="G41" s="8" t="s">
        <v>88</v>
      </c>
      <c r="H41" s="8" t="s">
        <v>88</v>
      </c>
      <c r="I41" s="8" t="s">
        <v>88</v>
      </c>
      <c r="J41" s="8" t="s">
        <v>88</v>
      </c>
      <c r="K41" s="8" t="s">
        <v>88</v>
      </c>
      <c r="L41" s="8" t="s">
        <v>88</v>
      </c>
      <c r="M41" s="8" t="s">
        <v>89</v>
      </c>
      <c r="N41" s="8" t="s">
        <v>89</v>
      </c>
      <c r="O41" s="8" t="s">
        <v>89</v>
      </c>
      <c r="P41" s="8" t="s">
        <v>89</v>
      </c>
      <c r="Q41" s="8" t="s">
        <v>89</v>
      </c>
      <c r="R41" s="8" t="s">
        <v>89</v>
      </c>
      <c r="S41" s="8" t="s">
        <v>90</v>
      </c>
      <c r="T41" s="8" t="s">
        <v>90</v>
      </c>
      <c r="U41" s="8" t="s">
        <v>90</v>
      </c>
      <c r="V41" s="8" t="s">
        <v>90</v>
      </c>
      <c r="W41" s="8" t="s">
        <v>90</v>
      </c>
      <c r="X41" s="8" t="s">
        <v>90</v>
      </c>
      <c r="Y41" s="8" t="s">
        <v>90</v>
      </c>
      <c r="Z41" s="8" t="s">
        <v>90</v>
      </c>
      <c r="AA41" s="8" t="s">
        <v>90</v>
      </c>
      <c r="AB41" s="8" t="s">
        <v>90</v>
      </c>
      <c r="AC41" s="8" t="s">
        <v>91</v>
      </c>
      <c r="AD41" s="8" t="s">
        <v>91</v>
      </c>
      <c r="AE41" s="8" t="s">
        <v>91</v>
      </c>
      <c r="AF41" s="8" t="s">
        <v>91</v>
      </c>
      <c r="AG41" s="8" t="s">
        <v>91</v>
      </c>
      <c r="AH41" s="8" t="s">
        <v>91</v>
      </c>
      <c r="AI41" s="8" t="s">
        <v>91</v>
      </c>
      <c r="AJ41" s="8" t="s">
        <v>91</v>
      </c>
      <c r="AK41" s="8" t="s">
        <v>91</v>
      </c>
      <c r="AL41" s="8" t="s">
        <v>91</v>
      </c>
    </row>
    <row r="42" spans="1:38" x14ac:dyDescent="0.25">
      <c r="B42" s="1" t="s">
        <v>30</v>
      </c>
      <c r="C42" s="6" t="s">
        <v>32</v>
      </c>
      <c r="D42" s="6" t="s">
        <v>33</v>
      </c>
      <c r="E42" s="6" t="s">
        <v>32</v>
      </c>
      <c r="F42" s="6" t="s">
        <v>33</v>
      </c>
      <c r="G42" s="6" t="s">
        <v>33</v>
      </c>
      <c r="H42" s="6" t="s">
        <v>33</v>
      </c>
      <c r="I42" s="6" t="s">
        <v>33</v>
      </c>
      <c r="J42" s="6" t="s">
        <v>32</v>
      </c>
      <c r="K42" s="6" t="s">
        <v>33</v>
      </c>
      <c r="L42" s="6" t="s">
        <v>35</v>
      </c>
      <c r="M42" s="6" t="s">
        <v>32</v>
      </c>
      <c r="N42" s="6" t="s">
        <v>35</v>
      </c>
      <c r="O42" s="6" t="s">
        <v>32</v>
      </c>
      <c r="P42" s="6" t="s">
        <v>33</v>
      </c>
      <c r="Q42" s="6" t="s">
        <v>32</v>
      </c>
      <c r="R42" s="6" t="s">
        <v>35</v>
      </c>
      <c r="S42" s="6" t="s">
        <v>32</v>
      </c>
      <c r="T42" s="6" t="s">
        <v>35</v>
      </c>
      <c r="U42" s="6" t="s">
        <v>33</v>
      </c>
      <c r="V42" s="6" t="s">
        <v>32</v>
      </c>
      <c r="W42" s="6" t="s">
        <v>33</v>
      </c>
      <c r="X42" s="6" t="s">
        <v>33</v>
      </c>
      <c r="Y42" s="6" t="s">
        <v>33</v>
      </c>
      <c r="Z42" s="6" t="s">
        <v>33</v>
      </c>
      <c r="AA42" s="6" t="s">
        <v>33</v>
      </c>
      <c r="AB42" s="6" t="s">
        <v>33</v>
      </c>
      <c r="AC42" s="6" t="s">
        <v>32</v>
      </c>
      <c r="AD42" s="6" t="s">
        <v>33</v>
      </c>
      <c r="AE42" s="6" t="s">
        <v>33</v>
      </c>
      <c r="AF42" s="6" t="s">
        <v>32</v>
      </c>
      <c r="AG42" s="6" t="s">
        <v>35</v>
      </c>
      <c r="AH42" s="6" t="s">
        <v>32</v>
      </c>
      <c r="AI42" s="6" t="s">
        <v>33</v>
      </c>
      <c r="AJ42" s="6" t="s">
        <v>33</v>
      </c>
      <c r="AK42" s="6" t="s">
        <v>33</v>
      </c>
      <c r="AL42" s="9" t="s">
        <v>35</v>
      </c>
    </row>
    <row r="43" spans="1:38" x14ac:dyDescent="0.25">
      <c r="B43" s="7" t="s">
        <v>31</v>
      </c>
      <c r="C43" s="8" t="s">
        <v>83</v>
      </c>
      <c r="D43" s="8" t="s">
        <v>79</v>
      </c>
      <c r="E43" s="8"/>
      <c r="F43" s="8" t="s">
        <v>34</v>
      </c>
      <c r="G43" s="8" t="s">
        <v>38</v>
      </c>
      <c r="H43" s="8" t="s">
        <v>80</v>
      </c>
      <c r="I43" s="8" t="s">
        <v>36</v>
      </c>
      <c r="J43" s="8"/>
      <c r="K43" s="8" t="s">
        <v>36</v>
      </c>
      <c r="L43" s="8" t="s">
        <v>36</v>
      </c>
      <c r="M43" s="8"/>
      <c r="N43" s="8" t="s">
        <v>37</v>
      </c>
      <c r="O43" s="8"/>
      <c r="P43" s="8" t="s">
        <v>38</v>
      </c>
      <c r="Q43" s="8"/>
      <c r="R43" s="8" t="s">
        <v>36</v>
      </c>
      <c r="S43" s="8"/>
      <c r="T43" s="8" t="s">
        <v>79</v>
      </c>
      <c r="U43" s="8" t="s">
        <v>34</v>
      </c>
      <c r="V43" s="8"/>
      <c r="W43" s="8"/>
      <c r="X43" s="8" t="s">
        <v>81</v>
      </c>
      <c r="Y43" s="8" t="s">
        <v>36</v>
      </c>
      <c r="Z43" s="8" t="s">
        <v>34</v>
      </c>
      <c r="AA43" s="8"/>
      <c r="AB43" s="8" t="s">
        <v>37</v>
      </c>
      <c r="AC43" s="8"/>
      <c r="AD43" s="8" t="s">
        <v>38</v>
      </c>
      <c r="AE43" s="8" t="s">
        <v>38</v>
      </c>
      <c r="AF43" s="8"/>
      <c r="AG43" s="8" t="s">
        <v>34</v>
      </c>
      <c r="AH43" s="8"/>
      <c r="AI43" s="8" t="s">
        <v>38</v>
      </c>
      <c r="AJ43" s="8" t="s">
        <v>80</v>
      </c>
      <c r="AK43" s="8" t="s">
        <v>39</v>
      </c>
      <c r="AL43" s="8" t="s">
        <v>36</v>
      </c>
    </row>
    <row r="44" spans="1:38" x14ac:dyDescent="0.25">
      <c r="B44" s="1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9"/>
      <c r="AK44" s="9"/>
      <c r="AL44" s="9"/>
    </row>
    <row r="46" spans="1:38" x14ac:dyDescent="0.25">
      <c r="B46" s="10"/>
      <c r="C46" s="10"/>
    </row>
  </sheetData>
  <mergeCells count="3">
    <mergeCell ref="B1:H1"/>
    <mergeCell ref="B2:H2"/>
    <mergeCell ref="B46:C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تاسع صباحي</vt:lpstr>
      <vt:lpstr>العاشر صباحي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ناصر الشحري</dc:creator>
  <cp:lastModifiedBy>مختبرات ظفار</cp:lastModifiedBy>
  <dcterms:created xsi:type="dcterms:W3CDTF">2025-12-29T06:14:33Z</dcterms:created>
  <dcterms:modified xsi:type="dcterms:W3CDTF">2026-01-31T11:15:49Z</dcterms:modified>
</cp:coreProperties>
</file>