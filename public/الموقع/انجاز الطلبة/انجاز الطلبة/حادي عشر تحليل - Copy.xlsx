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firstSheet="1" activeTab="4"/>
  </bookViews>
  <sheets>
    <sheet name="Dashboard" sheetId="1" r:id="rId1"/>
    <sheet name="اختبار قصير (1)" sheetId="2" r:id="rId2"/>
    <sheet name="اختبار قصير (2)" sheetId="3" r:id="rId3"/>
    <sheet name="اختبار قصير (3)" sheetId="4" r:id="rId4"/>
    <sheet name="اختبار نهائي (1)" sheetId="5" r:id="rId5"/>
    <sheet name="اختبار نهائي (2)" sheetId="6" r:id="rId6"/>
    <sheet name="Sheet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<sst xmlns="http://schemas.openxmlformats.org/spreadsheetml/2006/main" count="65" uniqueCount="28">
  <si>
    <t xml:space="preserve">المديرية العامة للتربية والتعليم بمحافظة ظفار </t>
  </si>
  <si>
    <t xml:space="preserve">دائرة الاشراف التربوي </t>
  </si>
  <si>
    <t xml:space="preserve">قسم الاشراف الفني </t>
  </si>
  <si>
    <t xml:space="preserve">وحدة اشراف الفيزياء </t>
  </si>
  <si>
    <t xml:space="preserve">سجل تحليل أعمال الطلبة في الاختبارات القصيرة والنهائية </t>
  </si>
  <si>
    <t>اسم المدرسة</t>
  </si>
  <si>
    <t>اسم المعلم/ة</t>
  </si>
  <si>
    <t>الصف</t>
  </si>
  <si>
    <t xml:space="preserve">اختر نوع التحليل </t>
  </si>
  <si>
    <t>اختبار نهائي (2)</t>
  </si>
  <si>
    <t>الأسئلة (المفردات - الجزئيات)</t>
  </si>
  <si>
    <t>م</t>
  </si>
  <si>
    <t>اسم الطالب/ة</t>
  </si>
  <si>
    <t>المجموع</t>
  </si>
  <si>
    <t xml:space="preserve">المتوسط الحسابي </t>
  </si>
  <si>
    <t xml:space="preserve">المنوال </t>
  </si>
  <si>
    <t xml:space="preserve">معامل الصعوبة </t>
  </si>
  <si>
    <t xml:space="preserve">معامل التمييز </t>
  </si>
  <si>
    <t xml:space="preserve">الاجراء المطلوب اتخاذه تجاه المفردة </t>
  </si>
  <si>
    <t>مازن احمد صفرار</t>
  </si>
  <si>
    <t>عبد الرحمن محمد</t>
  </si>
  <si>
    <t>سعيد مسلم سالم العمرى</t>
  </si>
  <si>
    <t>محمد عيسى بخيت</t>
  </si>
  <si>
    <t xml:space="preserve">مسلم سعيد سالم العمرى </t>
  </si>
  <si>
    <t>اختبار قصير (1)</t>
  </si>
  <si>
    <t>اختبار قصير (2)</t>
  </si>
  <si>
    <t>اختبار قصير (3)</t>
  </si>
  <si>
    <t>اختبار نهائي (1)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</si>
</sst>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6"/>
      <color theme="1"/>
      <name val="Sakkal Majalla"/>
      <charset val="134"/>
    </font>
    <font>
      <b/>
      <sz val="11"/>
      <color theme="1"/>
      <name val="Calibri"/>
      <charset val="134"/>
      <scheme val="minor"/>
    </font>
    <font>
      <b/>
      <sz val="18"/>
      <color theme="1"/>
      <name val="Sakkal Majalla"/>
      <charset val="134"/>
    </font>
    <font>
      <b/>
      <sz val="16"/>
      <color theme="10"/>
      <name val="Sakkal Majalla"/>
      <charset val="134"/>
    </font>
    <font>
      <b/>
      <sz val="11"/>
      <color rgb="FFFF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u/>
      <sz val="11"/>
      <color theme="10"/>
      <name val="Sakkal Majalla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/>
    <xf numFmtId="0" fontId="9" fillId="0" borderId="0" applyNumberFormat="0" applyFill="0" applyBorder="0" applyAlignment="0" applyProtection="0">
      <alignment vertical="center"/>
    </xf>
    <xf numFmtId="0" fontId="8" fillId="1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17" fillId="16" borderId="12" applyNumberFormat="0" applyAlignment="0" applyProtection="0">
      <alignment vertical="center"/>
    </xf>
    <xf numFmtId="0" fontId="18" fillId="16" borderId="11" applyNumberFormat="0" applyAlignment="0" applyProtection="0">
      <alignment vertical="center"/>
    </xf>
    <xf numFmtId="0" fontId="19" fillId="1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5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 applyProtection="1">
      <alignment horizontal="center"/>
      <protection hidden="1"/>
    </xf>
    <xf numFmtId="0" fontId="1" fillId="6" borderId="2" xfId="0" applyFont="1" applyFill="1" applyBorder="1" applyAlignment="1">
      <alignment horizontal="center"/>
    </xf>
    <xf numFmtId="0" fontId="2" fillId="0" borderId="2" xfId="0" applyFont="1" applyBorder="1" applyAlignment="1" applyProtection="1">
      <alignment horizontal="center"/>
      <protection hidden="1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0" borderId="2" xfId="0" applyFont="1" applyFill="1" applyBorder="1" applyAlignment="1" applyProtection="1">
      <alignment horizontal="center"/>
      <protection locked="0"/>
    </xf>
    <xf numFmtId="0" fontId="1" fillId="2" borderId="7" xfId="0" applyFont="1" applyFill="1" applyBorder="1" applyAlignment="1">
      <alignment horizontal="center"/>
    </xf>
    <xf numFmtId="0" fontId="0" fillId="0" borderId="6" xfId="0" applyBorder="1"/>
    <xf numFmtId="0" fontId="1" fillId="4" borderId="2" xfId="0" applyFont="1" applyFill="1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1" fillId="6" borderId="3" xfId="0" applyFont="1" applyFill="1" applyBorder="1" applyAlignment="1">
      <alignment horizontal="center"/>
    </xf>
    <xf numFmtId="0" fontId="2" fillId="0" borderId="2" xfId="0" applyFont="1" applyBorder="1" applyProtection="1">
      <protection hidden="1"/>
    </xf>
    <xf numFmtId="0" fontId="1" fillId="7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0" fillId="0" borderId="4" xfId="0" applyBorder="1" applyAlignment="1"/>
    <xf numFmtId="0" fontId="1" fillId="0" borderId="0" xfId="0" applyFont="1" applyAlignment="1">
      <alignment horizontal="center"/>
    </xf>
    <xf numFmtId="0" fontId="3" fillId="11" borderId="0" xfId="0" applyFont="1" applyFill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0" fillId="0" borderId="2" xfId="0" applyBorder="1" applyProtection="1"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0" xfId="0" applyAlignment="1">
      <alignment wrapText="1"/>
    </xf>
    <xf numFmtId="0" fontId="4" fillId="13" borderId="2" xfId="6" applyFont="1" applyFill="1" applyBorder="1" applyAlignment="1" applyProtection="1">
      <alignment horizontal="center" wrapText="1"/>
      <protection locked="0" hidden="1"/>
    </xf>
    <xf numFmtId="0" fontId="5" fillId="0" borderId="0" xfId="0" applyFont="1"/>
    <xf numFmtId="0" fontId="3" fillId="0" borderId="0" xfId="0" applyFont="1" applyAlignment="1">
      <alignment horizontal="center"/>
    </xf>
    <xf numFmtId="0" fontId="6" fillId="0" borderId="0" xfId="6" applyAlignment="1">
      <alignment horizontal="center"/>
    </xf>
    <xf numFmtId="0" fontId="7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4181475</xdr:colOff>
      <xdr:row>0</xdr:row>
      <xdr:rowOff>0</xdr:rowOff>
    </xdr:from>
    <xdr:to>
      <xdr:col>5</xdr:col>
      <xdr:colOff>0</xdr:colOff>
      <xdr:row>3</xdr:row>
      <xdr:rowOff>226726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15175" y="0"/>
          <a:ext cx="2152650" cy="11125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2003338</xdr:colOff>
      <xdr:row>0</xdr:row>
      <xdr:rowOff>95251</xdr:rowOff>
    </xdr:from>
    <xdr:to>
      <xdr:col>1</xdr:col>
      <xdr:colOff>2978148</xdr:colOff>
      <xdr:row>3</xdr:row>
      <xdr:rowOff>184236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4936490" y="95250"/>
          <a:ext cx="974725" cy="9747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</xdr:col>
      <xdr:colOff>285748</xdr:colOff>
      <xdr:row>7</xdr:row>
      <xdr:rowOff>9523</xdr:rowOff>
    </xdr:from>
    <xdr:to>
      <xdr:col>5</xdr:col>
      <xdr:colOff>485775</xdr:colOff>
      <xdr:row>14</xdr:row>
      <xdr:rowOff>123825</xdr:rowOff>
    </xdr:to>
    <xdr:pic>
      <xdr:nvPicPr>
        <xdr:cNvPr id="6" name="Picture 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2715" y="2028190"/>
          <a:ext cx="2000885" cy="2029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topLeftCell="A5" workbookViewId="0">
      <selection activeCell="D12" sqref="D12"/>
    </sheetView>
  </sheetViews>
  <sheetFormatPr defaultColWidth="9" defaultRowHeight="15"/>
  <cols>
    <col min="1" max="1" width="44" customWidth="1"/>
    <col min="2" max="2" width="68" customWidth="1"/>
    <col min="6" max="6" width="35.3714285714286" customWidth="1"/>
  </cols>
  <sheetData>
    <row r="1" ht="23.25" customHeight="1" spans="1:1">
      <c r="A1" s="35" t="s">
        <v>0</v>
      </c>
    </row>
    <row r="2" ht="23.25" customHeight="1" spans="1:1">
      <c r="A2" s="35" t="s">
        <v>1</v>
      </c>
    </row>
    <row r="3" ht="23.25" customHeight="1" spans="1:10">
      <c r="A3" s="35" t="s">
        <v>2</v>
      </c>
      <c r="B3" s="1"/>
      <c r="C3" s="1"/>
      <c r="D3" s="1"/>
      <c r="E3" s="1"/>
      <c r="F3" s="1"/>
      <c r="G3" s="1"/>
      <c r="H3" s="1"/>
      <c r="I3" s="1"/>
      <c r="J3" s="1"/>
    </row>
    <row r="4" ht="23.25" customHeight="1" spans="1:1">
      <c r="A4" s="35" t="s">
        <v>3</v>
      </c>
    </row>
    <row r="5" ht="27.75" customHeight="1" spans="1:2">
      <c r="A5" s="35"/>
      <c r="B5" s="36" t="s">
        <v>4</v>
      </c>
    </row>
    <row r="7" ht="23.25" customHeight="1" spans="1:2">
      <c r="A7" s="37" t="s">
        <v>5</v>
      </c>
      <c r="B7" s="38"/>
    </row>
    <row r="8" ht="23.25" customHeight="1" spans="1:2">
      <c r="A8" s="37" t="s">
        <v>6</v>
      </c>
      <c r="B8" s="38"/>
    </row>
    <row r="9" ht="23.25" customHeight="1" spans="1:2">
      <c r="A9" s="37" t="s">
        <v>7</v>
      </c>
      <c r="B9" s="38"/>
    </row>
    <row r="10" ht="23.25" customHeight="1" spans="1:3">
      <c r="A10" s="37" t="s">
        <v>8</v>
      </c>
      <c r="B10" s="39" t="s">
        <v>9</v>
      </c>
      <c r="C10" s="40"/>
    </row>
    <row r="12" ht="23.25" customHeight="1" spans="2:2">
      <c r="B12" s="41" t="str">
        <f>IF(B10="اختبار قصير (1)",HYPERLINK("#'اختبار قصير (1)'!A1","انتقال"),IF(B10="اختبار قصير (2)",HYPERLINK("#'اختبار قصير (2)'!A1","انتقال"),IF(B10="اختبار قصير (3)",HYPERLINK("#'اختبار قصير (3)'!A1","انتقال"),IF(B10="اختبار نهائي (1)",HYPERLINK("#'اختبار نهائي (1)'!A1","انتقال"),IF(B10="اختبار نهائي (2)",HYPERLINK("#'اختبار نهائي (2)'!A1","انتقال"),"")))))</f>
        <v>انتقال</v>
      </c>
    </row>
    <row r="14" ht="27.75" customHeight="1" spans="1:6">
      <c r="A14" s="35"/>
      <c r="B14" s="42"/>
      <c r="F14" s="43"/>
    </row>
    <row r="15" spans="6:6">
      <c r="F15" s="44"/>
    </row>
    <row r="16" ht="27.75" customHeight="1" spans="6:6">
      <c r="F16" s="43"/>
    </row>
    <row r="17" ht="18" customHeight="1" spans="2:2">
      <c r="B17" s="45"/>
    </row>
  </sheetData>
  <mergeCells count="1">
    <mergeCell ref="B5:D5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topLeftCell="C1" workbookViewId="0">
      <selection activeCell="R16" sqref="R16"/>
    </sheetView>
  </sheetViews>
  <sheetFormatPr defaultColWidth="9" defaultRowHeight="15"/>
  <cols>
    <col min="2" max="2" width="39.3714285714286" customWidth="1"/>
  </cols>
  <sheetData>
    <row r="1" ht="23.25" customHeight="1" spans="2:17">
      <c r="B1" s="2"/>
      <c r="C1" s="22" t="s">
        <v>10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6"/>
    </row>
    <row r="2" customHeight="1" spans="1:17">
      <c r="A2" s="4" t="s">
        <v>11</v>
      </c>
      <c r="B2" s="24" t="s">
        <v>12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</row>
    <row r="3" ht="23.25" customHeight="1" spans="1:17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ht="23.25" customHeight="1" spans="1:17">
      <c r="A4" s="6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ht="23.25" customHeight="1" spans="1:17">
      <c r="A5" s="6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ht="23.25" customHeight="1" spans="1:17">
      <c r="A6" s="6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23.25" customHeight="1" spans="1:17">
      <c r="A7" s="6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ht="23.25" customHeight="1" spans="1:17">
      <c r="A8" s="6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ht="23.25" customHeight="1" spans="1:17">
      <c r="A9" s="6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23.25" customHeight="1" spans="1:17">
      <c r="A10" s="6">
        <v>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ht="23.25" customHeight="1" spans="1:17">
      <c r="A11" s="6">
        <v>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ht="23.25" customHeight="1" spans="1:17">
      <c r="A12" s="6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ht="23.25" customHeight="1" spans="1:17">
      <c r="A13" s="6">
        <v>10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23.25" customHeight="1" spans="1:17">
      <c r="A14" s="6">
        <v>11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23.25" customHeight="1" spans="1:17">
      <c r="A15" s="6">
        <v>12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23.25" customHeight="1" spans="1:17">
      <c r="A16" s="6">
        <v>13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23.25" customHeight="1" spans="1:17">
      <c r="A17" s="6">
        <v>14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23.25" customHeight="1" spans="1:17">
      <c r="A18" s="6">
        <v>15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23.25" customHeight="1" spans="1:17">
      <c r="A19" s="6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23.25" customHeight="1" spans="1:17">
      <c r="A20" s="6">
        <v>17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23.25" customHeight="1" spans="1:17">
      <c r="A21" s="6">
        <v>18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23.25" customHeight="1" spans="1:17">
      <c r="A22" s="6">
        <v>19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23.25" customHeight="1" spans="1:17">
      <c r="A23" s="6">
        <v>20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23.25" customHeight="1" spans="1:17">
      <c r="A24" s="6">
        <v>21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23.25" customHeight="1" spans="1:17">
      <c r="A25" s="6">
        <v>22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23.25" customHeight="1" spans="1:17">
      <c r="A26" s="6">
        <v>23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23.25" customHeight="1" spans="1:17">
      <c r="A27" s="6">
        <v>24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23.25" customHeight="1" spans="1:17">
      <c r="A28" s="6">
        <v>25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23.25" customHeight="1" spans="1:17">
      <c r="A29" s="6">
        <v>26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23.25" customHeight="1" spans="1:17">
      <c r="A30" s="6">
        <v>27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23.25" customHeight="1" spans="1:17">
      <c r="A31" s="6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23.25" customHeight="1" spans="1:17">
      <c r="A32" s="6">
        <v>29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23.25" customHeight="1" spans="1:17">
      <c r="A33" s="6">
        <v>30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23.25" customHeight="1" spans="1:17">
      <c r="A34" s="6">
        <v>31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23.25" customHeight="1" spans="1:17">
      <c r="A35" s="6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23.25" customHeight="1" spans="1:17">
      <c r="A36" s="6">
        <v>33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23.25" customHeight="1" spans="1:17">
      <c r="A37" s="6">
        <v>34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23.25" customHeight="1" spans="1:17">
      <c r="A38" s="6">
        <v>35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23.25" customHeight="1" spans="1:17">
      <c r="A39" s="6">
        <v>36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23.25" customHeight="1" spans="1:17">
      <c r="A40" s="6">
        <v>37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23.25" customHeight="1" spans="1:17">
      <c r="A41" s="6">
        <v>38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23.25" customHeight="1" spans="1:17">
      <c r="A42" s="6">
        <v>39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23.25" customHeight="1" spans="1:17">
      <c r="A43" s="6">
        <v>40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23.25" customHeight="1" spans="1:17">
      <c r="A44" s="12" t="s">
        <v>13</v>
      </c>
      <c r="B44" s="26"/>
      <c r="C44" s="14">
        <f t="shared" ref="C44:Q44" si="0">SUM(C4:C43)</f>
        <v>0</v>
      </c>
      <c r="D44" s="14">
        <f t="shared" si="0"/>
        <v>0</v>
      </c>
      <c r="E44" s="14">
        <f t="shared" si="0"/>
        <v>0</v>
      </c>
      <c r="F44" s="14">
        <f t="shared" si="0"/>
        <v>0</v>
      </c>
      <c r="G44" s="14">
        <f t="shared" si="0"/>
        <v>0</v>
      </c>
      <c r="H44" s="14">
        <f t="shared" si="0"/>
        <v>0</v>
      </c>
      <c r="I44" s="14">
        <f t="shared" si="0"/>
        <v>0</v>
      </c>
      <c r="J44" s="14">
        <f t="shared" si="0"/>
        <v>0</v>
      </c>
      <c r="K44" s="14">
        <f t="shared" si="0"/>
        <v>0</v>
      </c>
      <c r="L44" s="14">
        <f t="shared" si="0"/>
        <v>0</v>
      </c>
      <c r="M44" s="14">
        <f t="shared" si="0"/>
        <v>0</v>
      </c>
      <c r="N44" s="14">
        <f t="shared" si="0"/>
        <v>0</v>
      </c>
      <c r="O44" s="14">
        <f t="shared" si="0"/>
        <v>0</v>
      </c>
      <c r="P44" s="14">
        <f t="shared" si="0"/>
        <v>0</v>
      </c>
      <c r="Q44" s="14">
        <f t="shared" si="0"/>
        <v>0</v>
      </c>
    </row>
    <row r="45" ht="23.25" customHeight="1" spans="1:17">
      <c r="A45" s="6">
        <v>42</v>
      </c>
      <c r="B45" s="27" t="s">
        <v>14</v>
      </c>
      <c r="C45" s="16" t="e">
        <f t="shared" ref="C45:Q45" si="1">AVERAGE(C4:C43)</f>
        <v>#DIV/0!</v>
      </c>
      <c r="D45" s="16" t="e">
        <f t="shared" si="1"/>
        <v>#DIV/0!</v>
      </c>
      <c r="E45" s="16" t="e">
        <f t="shared" si="1"/>
        <v>#DIV/0!</v>
      </c>
      <c r="F45" s="16" t="e">
        <f t="shared" si="1"/>
        <v>#DIV/0!</v>
      </c>
      <c r="G45" s="16" t="e">
        <f t="shared" si="1"/>
        <v>#DIV/0!</v>
      </c>
      <c r="H45" s="16" t="e">
        <f t="shared" si="1"/>
        <v>#DIV/0!</v>
      </c>
      <c r="I45" s="16" t="e">
        <f t="shared" si="1"/>
        <v>#DIV/0!</v>
      </c>
      <c r="J45" s="16" t="e">
        <f t="shared" si="1"/>
        <v>#DIV/0!</v>
      </c>
      <c r="K45" s="16" t="e">
        <f t="shared" si="1"/>
        <v>#DIV/0!</v>
      </c>
      <c r="L45" s="16" t="e">
        <f t="shared" si="1"/>
        <v>#DIV/0!</v>
      </c>
      <c r="M45" s="16" t="e">
        <f t="shared" si="1"/>
        <v>#DIV/0!</v>
      </c>
      <c r="N45" s="16" t="e">
        <f t="shared" si="1"/>
        <v>#DIV/0!</v>
      </c>
      <c r="O45" s="16" t="e">
        <f t="shared" si="1"/>
        <v>#DIV/0!</v>
      </c>
      <c r="P45" s="16" t="e">
        <f t="shared" si="1"/>
        <v>#DIV/0!</v>
      </c>
      <c r="Q45" s="16" t="e">
        <f t="shared" si="1"/>
        <v>#DIV/0!</v>
      </c>
    </row>
    <row r="46" ht="23.25" customHeight="1" spans="1:17">
      <c r="A46" s="6">
        <v>43</v>
      </c>
      <c r="B46" s="29" t="s">
        <v>15</v>
      </c>
      <c r="C46" s="16" t="e">
        <f>_xlfn.MODE.SNGL(C4:C43)</f>
        <v>#NAME?</v>
      </c>
      <c r="D46" s="16" t="e">
        <f>_xlfn.MODE.SNGL(D4:D43)</f>
        <v>#NAME?</v>
      </c>
      <c r="E46" s="16" t="e">
        <f>_xlfn.MODE.SNGL(E4:E43)</f>
        <v>#NAME?</v>
      </c>
      <c r="F46" s="16" t="e">
        <f>_xlfn.MODE.SNGL(F4:F43)</f>
        <v>#NAME?</v>
      </c>
      <c r="G46" s="16" t="e">
        <f>_xlfn.MODE.SNGL(G4:G43)</f>
        <v>#NAME?</v>
      </c>
      <c r="H46" s="16" t="e">
        <f>_xlfn.MODE.SNGL(H4:H43)</f>
        <v>#NAME?</v>
      </c>
      <c r="I46" s="16" t="e">
        <f>_xlfn.MODE.SNGL(I4:I43)</f>
        <v>#NAME?</v>
      </c>
      <c r="J46" s="16" t="e">
        <f>_xlfn.MODE.SNGL(J4:J43)</f>
        <v>#NAME?</v>
      </c>
      <c r="K46" s="16" t="e">
        <f>_xlfn.MODE.SNGL(K4:K43)</f>
        <v>#NAME?</v>
      </c>
      <c r="L46" s="16" t="e">
        <f>_xlfn.MODE.SNGL(L4:L43)</f>
        <v>#NAME?</v>
      </c>
      <c r="M46" s="16" t="e">
        <f>_xlfn.MODE.SNGL(M4:M43)</f>
        <v>#NAME?</v>
      </c>
      <c r="N46" s="16" t="e">
        <f>_xlfn.MODE.SNGL(N4:N43)</f>
        <v>#NAME?</v>
      </c>
      <c r="O46" s="16" t="e">
        <f>_xlfn.MODE.SNGL(O4:O43)</f>
        <v>#NAME?</v>
      </c>
      <c r="P46" s="16" t="e">
        <f>_xlfn.MODE.SNGL(P4:P43)</f>
        <v>#NAME?</v>
      </c>
      <c r="Q46" s="16" t="e">
        <f>_xlfn.MODE.SNGL(Q4:Q43)</f>
        <v>#NAME?</v>
      </c>
    </row>
    <row r="47" ht="23.25" customHeight="1" spans="1:17">
      <c r="A47" s="6">
        <v>44</v>
      </c>
      <c r="B47" s="30" t="s">
        <v>16</v>
      </c>
      <c r="C47" s="16">
        <f t="shared" ref="C47:Q47" si="2">COUNTIF(C2:C43,"&gt;=AVERAGE(C2:C43)")/COUNT(C2:C43)</f>
        <v>0</v>
      </c>
      <c r="D47" s="16">
        <f t="shared" si="2"/>
        <v>0</v>
      </c>
      <c r="E47" s="16">
        <f t="shared" si="2"/>
        <v>0</v>
      </c>
      <c r="F47" s="16">
        <f t="shared" si="2"/>
        <v>0</v>
      </c>
      <c r="G47" s="16">
        <f t="shared" si="2"/>
        <v>0</v>
      </c>
      <c r="H47" s="16">
        <f t="shared" si="2"/>
        <v>0</v>
      </c>
      <c r="I47" s="16">
        <f t="shared" si="2"/>
        <v>0</v>
      </c>
      <c r="J47" s="16">
        <f t="shared" si="2"/>
        <v>0</v>
      </c>
      <c r="K47" s="16">
        <f t="shared" si="2"/>
        <v>0</v>
      </c>
      <c r="L47" s="16">
        <f t="shared" si="2"/>
        <v>0</v>
      </c>
      <c r="M47" s="16">
        <f t="shared" si="2"/>
        <v>0</v>
      </c>
      <c r="N47" s="16">
        <f t="shared" si="2"/>
        <v>0</v>
      </c>
      <c r="O47" s="16">
        <f t="shared" si="2"/>
        <v>0</v>
      </c>
      <c r="P47" s="16">
        <f t="shared" si="2"/>
        <v>0</v>
      </c>
      <c r="Q47" s="16">
        <f t="shared" si="2"/>
        <v>0</v>
      </c>
    </row>
    <row r="48" ht="23.25" customHeight="1" spans="1:17">
      <c r="A48" s="6">
        <v>45</v>
      </c>
      <c r="B48" s="31" t="s">
        <v>17</v>
      </c>
      <c r="C48" s="16" t="str">
        <f ca="1" t="array" ref="C48">IFERROR((AVERAGE(LARGE(C2:C43,ROW(INDIRECT("1:"&amp;ROUNDUP(COUNT(C2:C43)*0.3,0)))))-AVERAGE(SMALL(C2:C43,ROW(INDIRECT("1:"&amp;ROUNDUP(COUNT(C2:C43)*0.3,0))))))/(MAX(C2:C43)-MIN(C2:C43)),"N/A")</f>
        <v>N/A</v>
      </c>
      <c r="D48" s="16" t="str">
        <f ca="1" t="array" ref="D48">IFERROR((AVERAGE(LARGE(D2:D43,ROW(INDIRECT("1:"&amp;ROUNDUP(COUNT(D2:D43)*0.3,0)))))-AVERAGE(SMALL(D2:D43,ROW(INDIRECT("1:"&amp;ROUNDUP(COUNT(D2:D43)*0.3,0))))))/(MAX(D2:D43)-MIN(D2:D43)),"N/A")</f>
        <v>N/A</v>
      </c>
      <c r="E48" s="16" t="str">
        <f ca="1" t="array" ref="E48">IFERROR((AVERAGE(LARGE(E2:E43,ROW(INDIRECT("1:"&amp;ROUNDUP(COUNT(E2:E43)*0.3,0)))))-AVERAGE(SMALL(E2:E43,ROW(INDIRECT("1:"&amp;ROUNDUP(COUNT(E2:E43)*0.3,0))))))/(MAX(E2:E43)-MIN(E2:E43)),"N/A")</f>
        <v>N/A</v>
      </c>
      <c r="F48" s="16" t="str">
        <f ca="1" t="array" ref="F48">IFERROR((AVERAGE(LARGE(F2:F43,ROW(INDIRECT("1:"&amp;ROUNDUP(COUNT(F2:F43)*0.3,0)))))-AVERAGE(SMALL(F2:F43,ROW(INDIRECT("1:"&amp;ROUNDUP(COUNT(F2:F43)*0.3,0))))))/(MAX(F2:F43)-MIN(F2:F43)),"N/A")</f>
        <v>N/A</v>
      </c>
      <c r="G48" s="16" t="str">
        <f ca="1" t="array" ref="G48">IFERROR((AVERAGE(LARGE(G2:G43,ROW(INDIRECT("1:"&amp;ROUNDUP(COUNT(G2:G43)*0.3,0)))))-AVERAGE(SMALL(G2:G43,ROW(INDIRECT("1:"&amp;ROUNDUP(COUNT(G2:G43)*0.3,0))))))/(MAX(G2:G43)-MIN(G2:G43)),"N/A")</f>
        <v>N/A</v>
      </c>
      <c r="H48" s="16" t="str">
        <f ca="1" t="array" ref="H48">IFERROR((AVERAGE(LARGE(H2:H43,ROW(INDIRECT("1:"&amp;ROUNDUP(COUNT(H2:H43)*0.3,0)))))-AVERAGE(SMALL(H2:H43,ROW(INDIRECT("1:"&amp;ROUNDUP(COUNT(H2:H43)*0.3,0))))))/(MAX(H2:H43)-MIN(H2:H43)),"N/A")</f>
        <v>N/A</v>
      </c>
      <c r="I48" s="16" t="str">
        <f ca="1" t="array" ref="I48">IFERROR((AVERAGE(LARGE(I2:I43,ROW(INDIRECT("1:"&amp;ROUNDUP(COUNT(I2:I43)*0.3,0)))))-AVERAGE(SMALL(I2:I43,ROW(INDIRECT("1:"&amp;ROUNDUP(COUNT(I2:I43)*0.3,0))))))/(MAX(I2:I43)-MIN(I2:I43)),"N/A")</f>
        <v>N/A</v>
      </c>
      <c r="J48" s="16" t="str">
        <f ca="1" t="array" ref="J48">IFERROR((AVERAGE(LARGE(J2:J43,ROW(INDIRECT("1:"&amp;ROUNDUP(COUNT(J2:J43)*0.3,0)))))-AVERAGE(SMALL(J2:J43,ROW(INDIRECT("1:"&amp;ROUNDUP(COUNT(J2:J43)*0.3,0))))))/(MAX(J2:J43)-MIN(J2:J43)),"N/A")</f>
        <v>N/A</v>
      </c>
      <c r="K48" s="16" t="str">
        <f ca="1" t="array" ref="K48">IFERROR((AVERAGE(LARGE(K2:K43,ROW(INDIRECT("1:"&amp;ROUNDUP(COUNT(K2:K43)*0.3,0)))))-AVERAGE(SMALL(K2:K43,ROW(INDIRECT("1:"&amp;ROUNDUP(COUNT(K2:K43)*0.3,0))))))/(MAX(K2:K43)-MIN(K2:K43)),"N/A")</f>
        <v>N/A</v>
      </c>
      <c r="L48" s="16" t="str">
        <f ca="1" t="array" ref="L48">IFERROR((AVERAGE(LARGE(L2:L43,ROW(INDIRECT("1:"&amp;ROUNDUP(COUNT(L2:L43)*0.3,0)))))-AVERAGE(SMALL(L2:L43,ROW(INDIRECT("1:"&amp;ROUNDUP(COUNT(L2:L43)*0.3,0))))))/(MAX(L2:L43)-MIN(L2:L43)),"N/A")</f>
        <v>N/A</v>
      </c>
      <c r="M48" s="16" t="str">
        <f ca="1" t="array" ref="M48">IFERROR((AVERAGE(LARGE(M2:M43,ROW(INDIRECT("1:"&amp;ROUNDUP(COUNT(M2:M43)*0.3,0)))))-AVERAGE(SMALL(M2:M43,ROW(INDIRECT("1:"&amp;ROUNDUP(COUNT(M2:M43)*0.3,0))))))/(MAX(M2:M43)-MIN(M2:M43)),"N/A")</f>
        <v>N/A</v>
      </c>
      <c r="N48" s="16" t="str">
        <f ca="1" t="array" ref="N48">IFERROR((AVERAGE(LARGE(N2:N43,ROW(INDIRECT("1:"&amp;ROUNDUP(COUNT(N2:N43)*0.3,0)))))-AVERAGE(SMALL(N2:N43,ROW(INDIRECT("1:"&amp;ROUNDUP(COUNT(N2:N43)*0.3,0))))))/(MAX(N2:N43)-MIN(N2:N43)),"N/A")</f>
        <v>N/A</v>
      </c>
      <c r="O48" s="16" t="str">
        <f ca="1" t="array" ref="O48">IFERROR((AVERAGE(LARGE(O2:O43,ROW(INDIRECT("1:"&amp;ROUNDUP(COUNT(O2:O43)*0.3,0)))))-AVERAGE(SMALL(O2:O43,ROW(INDIRECT("1:"&amp;ROUNDUP(COUNT(O2:O43)*0.3,0))))))/(MAX(O2:O43)-MIN(O2:O43)),"N/A")</f>
        <v>N/A</v>
      </c>
      <c r="P48" s="16" t="str">
        <f ca="1" t="array" ref="P48">IFERROR((AVERAGE(LARGE(P2:P43,ROW(INDIRECT("1:"&amp;ROUNDUP(COUNT(P2:P43)*0.3,0)))))-AVERAGE(SMALL(P2:P43,ROW(INDIRECT("1:"&amp;ROUNDUP(COUNT(P2:P43)*0.3,0))))))/(MAX(P2:P43)-MIN(P2:P43)),"N/A")</f>
        <v>N/A</v>
      </c>
      <c r="Q48" s="16" t="str">
        <f ca="1" t="array" ref="Q48">IFERROR((AVERAGE(LARGE(Q2:Q43,ROW(INDIRECT("1:"&amp;ROUNDUP(COUNT(Q2:Q43)*0.3,0)))))-AVERAGE(SMALL(Q2:Q43,ROW(INDIRECT("1:"&amp;ROUNDUP(COUNT(Q2:Q43)*0.3,0))))))/(MAX(Q2:Q43)-MIN(Q2:Q43)),"N/A")</f>
        <v>N/A</v>
      </c>
    </row>
    <row r="49" ht="23.25" customHeight="1" spans="1:17">
      <c r="A49" s="6">
        <v>46</v>
      </c>
      <c r="B49" s="32" t="s">
        <v>18</v>
      </c>
      <c r="C49" s="16" t="e">
        <f>IF(AND(COUNTA(C2:C43)&gt;0,OR(_xlfn.MODE.SNGL(C2:C43)=0,_xlfn.MODE.SNGL(C2:C43)=MIN(C2:C43),_xlfn.MODE.SNGL(C2:C43)&lt;MAX(C2:C43))),"تعالج","لا تعالج")</f>
        <v>#NAME?</v>
      </c>
      <c r="D49" s="16" t="e">
        <f>IF(AND(COUNTA(D2:D43)&gt;0,OR(_xlfn.MODE.SNGL(D2:D43)=0,_xlfn.MODE.SNGL(D2:D43)=MIN(D2:D43),_xlfn.MODE.SNGL(D2:D43)&lt;MAX(D2:D43))),"تعالج","لا تعالج")</f>
        <v>#NAME?</v>
      </c>
      <c r="E49" s="16" t="e">
        <f>IF(AND(COUNTA(E2:E43)&gt;0,OR(_xlfn.MODE.SNGL(E2:E43)=0,_xlfn.MODE.SNGL(E2:E43)=MIN(E2:E43),_xlfn.MODE.SNGL(E2:E43)&lt;MAX(E2:E43))),"تعالج","لا تعالج")</f>
        <v>#NAME?</v>
      </c>
      <c r="F49" s="16" t="e">
        <f>IF(AND(COUNTA(F2:F43)&gt;0,OR(_xlfn.MODE.SNGL(F2:F43)=0,_xlfn.MODE.SNGL(F2:F43)=MIN(F2:F43),_xlfn.MODE.SNGL(F2:F43)&lt;MAX(F2:F43))),"تعالج","لا تعالج")</f>
        <v>#NAME?</v>
      </c>
      <c r="G49" s="16" t="e">
        <f>IF(AND(COUNTA(G2:G43)&gt;0,OR(_xlfn.MODE.SNGL(G2:G43)=0,_xlfn.MODE.SNGL(G2:G43)=MIN(G2:G43),_xlfn.MODE.SNGL(G2:G43)&lt;MAX(G2:G43))),"تعالج","لا تعالج")</f>
        <v>#NAME?</v>
      </c>
      <c r="H49" s="16" t="e">
        <f>IF(AND(COUNTA(H2:H43)&gt;0,OR(_xlfn.MODE.SNGL(H2:H43)=0,_xlfn.MODE.SNGL(H2:H43)=MIN(H2:H43),_xlfn.MODE.SNGL(H2:H43)&lt;MAX(H2:H43))),"تعالج","لا تعالج")</f>
        <v>#NAME?</v>
      </c>
      <c r="I49" s="16" t="e">
        <f>IF(AND(COUNTA(I2:I43)&gt;0,OR(_xlfn.MODE.SNGL(I2:I43)=0,_xlfn.MODE.SNGL(I2:I43)=MIN(I2:I43),_xlfn.MODE.SNGL(I2:I43)&lt;MAX(I2:I43))),"تعالج","لا تعالج")</f>
        <v>#NAME?</v>
      </c>
      <c r="J49" s="16" t="e">
        <f>IF(AND(COUNTA(J2:J43)&gt;0,OR(_xlfn.MODE.SNGL(J2:J43)=0,_xlfn.MODE.SNGL(J2:J43)=MIN(J2:J43),_xlfn.MODE.SNGL(J2:J43)&lt;MAX(J2:J43))),"تعالج","لا تعالج")</f>
        <v>#NAME?</v>
      </c>
      <c r="K49" s="16" t="e">
        <f>IF(AND(COUNTA(K2:K43)&gt;0,OR(_xlfn.MODE.SNGL(K2:K43)=0,_xlfn.MODE.SNGL(K2:K43)=MIN(K2:K43),_xlfn.MODE.SNGL(K2:K43)&lt;MAX(K2:K43))),"تعالج","لا تعالج")</f>
        <v>#NAME?</v>
      </c>
      <c r="L49" s="16" t="e">
        <f>IF(AND(COUNTA(L2:L43)&gt;0,OR(_xlfn.MODE.SNGL(L2:L43)=0,_xlfn.MODE.SNGL(L2:L43)=MIN(L2:L43),_xlfn.MODE.SNGL(L2:L43)&lt;MAX(L2:L43))),"تعالج","لا تعالج")</f>
        <v>#NAME?</v>
      </c>
      <c r="M49" s="16" t="e">
        <f>IF(AND(COUNTA(M2:M43)&gt;0,OR(_xlfn.MODE.SNGL(M2:M43)=0,_xlfn.MODE.SNGL(M2:M43)=MIN(M2:M43),_xlfn.MODE.SNGL(M2:M43)&lt;MAX(M2:M43))),"تعالج","لا تعالج")</f>
        <v>#NAME?</v>
      </c>
      <c r="N49" s="16" t="e">
        <f>IF(AND(COUNTA(N2:N43)&gt;0,OR(_xlfn.MODE.SNGL(N2:N43)=0,_xlfn.MODE.SNGL(N2:N43)=MIN(N2:N43),_xlfn.MODE.SNGL(N2:N43)&lt;MAX(N2:N43))),"تعالج","لا تعالج")</f>
        <v>#NAME?</v>
      </c>
      <c r="O49" s="16" t="e">
        <f>IF(AND(COUNTA(O2:O43)&gt;0,OR(_xlfn.MODE.SNGL(O2:O43)=0,_xlfn.MODE.SNGL(O2:O43)=MIN(O2:O43),_xlfn.MODE.SNGL(O2:O43)&lt;MAX(O2:O43))),"تعالج","لا تعالج")</f>
        <v>#NAME?</v>
      </c>
      <c r="P49" s="16" t="e">
        <f>IF(AND(COUNTA(P2:P43)&gt;0,OR(_xlfn.MODE.SNGL(P2:P43)=0,_xlfn.MODE.SNGL(P2:P43)=MIN(P2:P43),_xlfn.MODE.SNGL(P2:P43)&lt;MAX(P2:P43))),"تعالج","لا تعالج")</f>
        <v>#NAME?</v>
      </c>
      <c r="Q49" s="16" t="e">
        <f>IF(AND(COUNTA(Q2:Q43)&gt;0,OR(_xlfn.MODE.SNGL(Q2:Q43)=0,_xlfn.MODE.SNGL(Q2:Q43)=MIN(Q2:Q43),_xlfn.MODE.SNGL(Q2:Q43)&lt;MAX(Q2:Q43))),"تعالج","لا تعالج")</f>
        <v>#NAME?</v>
      </c>
    </row>
  </sheetData>
  <mergeCells count="19">
    <mergeCell ref="C1:Q1"/>
    <mergeCell ref="A44:B4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topLeftCell="A36" workbookViewId="0">
      <selection activeCell="Q4" sqref="Q4:Q5"/>
    </sheetView>
  </sheetViews>
  <sheetFormatPr defaultColWidth="9" defaultRowHeight="15"/>
  <cols>
    <col min="2" max="2" width="39.3714285714286" customWidth="1"/>
  </cols>
  <sheetData>
    <row r="1" ht="23.25" customHeight="1" spans="2:17">
      <c r="B1" s="2"/>
      <c r="C1" s="22" t="s">
        <v>10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6"/>
    </row>
    <row r="2" spans="1:17">
      <c r="A2" s="4" t="s">
        <v>11</v>
      </c>
      <c r="B2" s="24" t="s">
        <v>12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</row>
    <row r="3" ht="23.25" customHeight="1" spans="1:17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ht="23.25" customHeight="1" spans="1:17">
      <c r="A4" s="6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ht="23.25" customHeight="1" spans="1:17">
      <c r="A5" s="6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ht="23.25" customHeight="1" spans="1:17">
      <c r="A6" s="6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23.25" customHeight="1" spans="1:17">
      <c r="A7" s="6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ht="23.25" customHeight="1" spans="1:17">
      <c r="A8" s="6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ht="23.25" customHeight="1" spans="1:17">
      <c r="A9" s="6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23.25" customHeight="1" spans="1:17">
      <c r="A10" s="6">
        <v>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ht="23.25" customHeight="1" spans="1:17">
      <c r="A11" s="6">
        <v>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ht="23.25" customHeight="1" spans="1:17">
      <c r="A12" s="6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ht="23.25" customHeight="1" spans="1:17">
      <c r="A13" s="6">
        <v>10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23.25" customHeight="1" spans="1:17">
      <c r="A14" s="6">
        <v>11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23.25" customHeight="1" spans="1:17">
      <c r="A15" s="6">
        <v>12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23.25" customHeight="1" spans="1:17">
      <c r="A16" s="6">
        <v>13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23.25" customHeight="1" spans="1:17">
      <c r="A17" s="6">
        <v>14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23.25" customHeight="1" spans="1:17">
      <c r="A18" s="6">
        <v>15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23.25" customHeight="1" spans="1:17">
      <c r="A19" s="6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23.25" customHeight="1" spans="1:17">
      <c r="A20" s="6">
        <v>17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23.25" customHeight="1" spans="1:17">
      <c r="A21" s="6">
        <v>18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23.25" customHeight="1" spans="1:17">
      <c r="A22" s="6">
        <v>19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23.25" customHeight="1" spans="1:17">
      <c r="A23" s="6">
        <v>20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23.25" customHeight="1" spans="1:17">
      <c r="A24" s="6">
        <v>21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23.25" customHeight="1" spans="1:17">
      <c r="A25" s="6">
        <v>22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23.25" customHeight="1" spans="1:17">
      <c r="A26" s="6">
        <v>23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23.25" customHeight="1" spans="1:17">
      <c r="A27" s="6">
        <v>24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23.25" customHeight="1" spans="1:17">
      <c r="A28" s="6">
        <v>25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23.25" customHeight="1" spans="1:17">
      <c r="A29" s="6">
        <v>26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23.25" customHeight="1" spans="1:17">
      <c r="A30" s="6">
        <v>27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23.25" customHeight="1" spans="1:17">
      <c r="A31" s="6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23.25" customHeight="1" spans="1:17">
      <c r="A32" s="6">
        <v>29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23.25" customHeight="1" spans="1:17">
      <c r="A33" s="6">
        <v>30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23.25" customHeight="1" spans="1:17">
      <c r="A34" s="6">
        <v>31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23.25" customHeight="1" spans="1:17">
      <c r="A35" s="6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23.25" customHeight="1" spans="1:17">
      <c r="A36" s="6">
        <v>33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23.25" customHeight="1" spans="1:17">
      <c r="A37" s="6">
        <v>34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23.25" customHeight="1" spans="1:17">
      <c r="A38" s="6">
        <v>35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23.25" customHeight="1" spans="1:17">
      <c r="A39" s="6">
        <v>36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23.25" customHeight="1" spans="1:17">
      <c r="A40" s="6">
        <v>37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23.25" customHeight="1" spans="1:17">
      <c r="A41" s="6">
        <v>38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23.25" customHeight="1" spans="1:17">
      <c r="A42" s="6">
        <v>39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23.25" customHeight="1" spans="1:17">
      <c r="A43" s="6">
        <v>40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23.25" customHeight="1" spans="1:17">
      <c r="A44" s="12" t="s">
        <v>13</v>
      </c>
      <c r="B44" s="26"/>
      <c r="C44" s="14">
        <f t="shared" ref="C44:Q44" si="0">SUM(C4:C43)</f>
        <v>0</v>
      </c>
      <c r="D44" s="14">
        <f t="shared" si="0"/>
        <v>0</v>
      </c>
      <c r="E44" s="14">
        <f t="shared" si="0"/>
        <v>0</v>
      </c>
      <c r="F44" s="14">
        <f t="shared" si="0"/>
        <v>0</v>
      </c>
      <c r="G44" s="14">
        <f t="shared" si="0"/>
        <v>0</v>
      </c>
      <c r="H44" s="14">
        <f t="shared" si="0"/>
        <v>0</v>
      </c>
      <c r="I44" s="14">
        <f t="shared" si="0"/>
        <v>0</v>
      </c>
      <c r="J44" s="14">
        <f t="shared" si="0"/>
        <v>0</v>
      </c>
      <c r="K44" s="14">
        <f t="shared" si="0"/>
        <v>0</v>
      </c>
      <c r="L44" s="14">
        <f t="shared" si="0"/>
        <v>0</v>
      </c>
      <c r="M44" s="14">
        <f t="shared" si="0"/>
        <v>0</v>
      </c>
      <c r="N44" s="14">
        <f t="shared" si="0"/>
        <v>0</v>
      </c>
      <c r="O44" s="14">
        <f t="shared" si="0"/>
        <v>0</v>
      </c>
      <c r="P44" s="14">
        <f t="shared" si="0"/>
        <v>0</v>
      </c>
      <c r="Q44" s="14">
        <f t="shared" si="0"/>
        <v>0</v>
      </c>
    </row>
    <row r="45" ht="23.25" customHeight="1" spans="1:17">
      <c r="A45" s="6">
        <v>42</v>
      </c>
      <c r="B45" s="27" t="s">
        <v>14</v>
      </c>
      <c r="C45" s="28" t="e">
        <f t="shared" ref="C45:Q45" si="1">AVERAGE(C4:C43)</f>
        <v>#DIV/0!</v>
      </c>
      <c r="D45" s="28" t="e">
        <f t="shared" si="1"/>
        <v>#DIV/0!</v>
      </c>
      <c r="E45" s="28" t="e">
        <f t="shared" si="1"/>
        <v>#DIV/0!</v>
      </c>
      <c r="F45" s="28" t="e">
        <f t="shared" si="1"/>
        <v>#DIV/0!</v>
      </c>
      <c r="G45" s="28" t="e">
        <f t="shared" si="1"/>
        <v>#DIV/0!</v>
      </c>
      <c r="H45" s="28" t="e">
        <f t="shared" si="1"/>
        <v>#DIV/0!</v>
      </c>
      <c r="I45" s="28" t="e">
        <f t="shared" si="1"/>
        <v>#DIV/0!</v>
      </c>
      <c r="J45" s="28" t="e">
        <f t="shared" si="1"/>
        <v>#DIV/0!</v>
      </c>
      <c r="K45" s="28" t="e">
        <f t="shared" si="1"/>
        <v>#DIV/0!</v>
      </c>
      <c r="L45" s="28" t="e">
        <f t="shared" si="1"/>
        <v>#DIV/0!</v>
      </c>
      <c r="M45" s="28" t="e">
        <f t="shared" si="1"/>
        <v>#DIV/0!</v>
      </c>
      <c r="N45" s="28" t="e">
        <f t="shared" si="1"/>
        <v>#DIV/0!</v>
      </c>
      <c r="O45" s="28" t="e">
        <f t="shared" si="1"/>
        <v>#DIV/0!</v>
      </c>
      <c r="P45" s="28" t="e">
        <f t="shared" si="1"/>
        <v>#DIV/0!</v>
      </c>
      <c r="Q45" s="16" t="e">
        <f t="shared" si="1"/>
        <v>#DIV/0!</v>
      </c>
    </row>
    <row r="46" ht="23.25" customHeight="1" spans="1:17">
      <c r="A46" s="6">
        <v>43</v>
      </c>
      <c r="B46" s="29" t="s">
        <v>15</v>
      </c>
      <c r="C46" s="28" t="e">
        <f>_xlfn.MODE.SNGL(C4:C43)</f>
        <v>#NAME?</v>
      </c>
      <c r="D46" s="28" t="e">
        <f>_xlfn.MODE.SNGL(D4:D43)</f>
        <v>#NAME?</v>
      </c>
      <c r="E46" s="28" t="e">
        <f>_xlfn.MODE.SNGL(E4:E43)</f>
        <v>#NAME?</v>
      </c>
      <c r="F46" s="28" t="e">
        <f>_xlfn.MODE.SNGL(F4:F43)</f>
        <v>#NAME?</v>
      </c>
      <c r="G46" s="28" t="e">
        <f>_xlfn.MODE.SNGL(G4:G43)</f>
        <v>#NAME?</v>
      </c>
      <c r="H46" s="28" t="e">
        <f>_xlfn.MODE.SNGL(H4:H43)</f>
        <v>#NAME?</v>
      </c>
      <c r="I46" s="28" t="e">
        <f>_xlfn.MODE.SNGL(I4:I43)</f>
        <v>#NAME?</v>
      </c>
      <c r="J46" s="28" t="e">
        <f>_xlfn.MODE.SNGL(J4:J43)</f>
        <v>#NAME?</v>
      </c>
      <c r="K46" s="28" t="e">
        <f>_xlfn.MODE.SNGL(K4:K43)</f>
        <v>#NAME?</v>
      </c>
      <c r="L46" s="28" t="e">
        <f>_xlfn.MODE.SNGL(L4:L43)</f>
        <v>#NAME?</v>
      </c>
      <c r="M46" s="28" t="e">
        <f>_xlfn.MODE.SNGL(M4:M43)</f>
        <v>#NAME?</v>
      </c>
      <c r="N46" s="28" t="e">
        <f>_xlfn.MODE.SNGL(N4:N43)</f>
        <v>#NAME?</v>
      </c>
      <c r="O46" s="28" t="e">
        <f>_xlfn.MODE.SNGL(O4:O43)</f>
        <v>#NAME?</v>
      </c>
      <c r="P46" s="28" t="e">
        <f>_xlfn.MODE.SNGL(P4:P43)</f>
        <v>#NAME?</v>
      </c>
      <c r="Q46" s="16" t="e">
        <f>_xlfn.MODE.SNGL(Q4:Q43)</f>
        <v>#NAME?</v>
      </c>
    </row>
    <row r="47" ht="23.25" customHeight="1" spans="1:17">
      <c r="A47" s="6">
        <v>44</v>
      </c>
      <c r="B47" s="30" t="s">
        <v>16</v>
      </c>
      <c r="C47" s="16">
        <f t="shared" ref="C47:Q47" si="2">COUNTIF(C2:C43,"&gt;=AVERAGE(C2:C43)")/COUNT(C2:C43)</f>
        <v>0</v>
      </c>
      <c r="D47" s="16">
        <f t="shared" si="2"/>
        <v>0</v>
      </c>
      <c r="E47" s="16">
        <f t="shared" si="2"/>
        <v>0</v>
      </c>
      <c r="F47" s="16">
        <f t="shared" si="2"/>
        <v>0</v>
      </c>
      <c r="G47" s="16">
        <f t="shared" si="2"/>
        <v>0</v>
      </c>
      <c r="H47" s="16">
        <f t="shared" si="2"/>
        <v>0</v>
      </c>
      <c r="I47" s="16">
        <f t="shared" si="2"/>
        <v>0</v>
      </c>
      <c r="J47" s="16">
        <f t="shared" si="2"/>
        <v>0</v>
      </c>
      <c r="K47" s="16">
        <f t="shared" si="2"/>
        <v>0</v>
      </c>
      <c r="L47" s="16">
        <f t="shared" si="2"/>
        <v>0</v>
      </c>
      <c r="M47" s="16">
        <f t="shared" si="2"/>
        <v>0</v>
      </c>
      <c r="N47" s="16">
        <f t="shared" si="2"/>
        <v>0</v>
      </c>
      <c r="O47" s="16">
        <f t="shared" si="2"/>
        <v>0</v>
      </c>
      <c r="P47" s="16">
        <f t="shared" si="2"/>
        <v>0</v>
      </c>
      <c r="Q47" s="16">
        <f t="shared" si="2"/>
        <v>0</v>
      </c>
    </row>
    <row r="48" ht="23.25" customHeight="1" spans="1:17">
      <c r="A48" s="6">
        <v>45</v>
      </c>
      <c r="B48" s="31" t="s">
        <v>17</v>
      </c>
      <c r="C48" s="16" t="str">
        <f ca="1" t="array" ref="C48">IFERROR((AVERAGE(LARGE(C2:C43,ROW(INDIRECT("1:"&amp;ROUNDUP(COUNT(C2:C43)*0.3,0)))))-AVERAGE(SMALL(C2:C43,ROW(INDIRECT("1:"&amp;ROUNDUP(COUNT(C2:C43)*0.3,0))))))/(MAX(C2:C43)-MIN(C2:C43)),"N/A")</f>
        <v>N/A</v>
      </c>
      <c r="D48" s="16" t="str">
        <f ca="1" t="array" ref="D48">IFERROR((AVERAGE(LARGE(D2:D43,ROW(INDIRECT("1:"&amp;ROUNDUP(COUNT(D2:D43)*0.3,0)))))-AVERAGE(SMALL(D2:D43,ROW(INDIRECT("1:"&amp;ROUNDUP(COUNT(D2:D43)*0.3,0))))))/(MAX(D2:D43)-MIN(D2:D43)),"N/A")</f>
        <v>N/A</v>
      </c>
      <c r="E48" s="16" t="str">
        <f ca="1" t="array" ref="E48">IFERROR((AVERAGE(LARGE(E2:E43,ROW(INDIRECT("1:"&amp;ROUNDUP(COUNT(E2:E43)*0.3,0)))))-AVERAGE(SMALL(E2:E43,ROW(INDIRECT("1:"&amp;ROUNDUP(COUNT(E2:E43)*0.3,0))))))/(MAX(E2:E43)-MIN(E2:E43)),"N/A")</f>
        <v>N/A</v>
      </c>
      <c r="F48" s="16" t="str">
        <f ca="1" t="array" ref="F48">IFERROR((AVERAGE(LARGE(F2:F43,ROW(INDIRECT("1:"&amp;ROUNDUP(COUNT(F2:F43)*0.3,0)))))-AVERAGE(SMALL(F2:F43,ROW(INDIRECT("1:"&amp;ROUNDUP(COUNT(F2:F43)*0.3,0))))))/(MAX(F2:F43)-MIN(F2:F43)),"N/A")</f>
        <v>N/A</v>
      </c>
      <c r="G48" s="16" t="str">
        <f ca="1" t="array" ref="G48">IFERROR((AVERAGE(LARGE(G2:G43,ROW(INDIRECT("1:"&amp;ROUNDUP(COUNT(G2:G43)*0.3,0)))))-AVERAGE(SMALL(G2:G43,ROW(INDIRECT("1:"&amp;ROUNDUP(COUNT(G2:G43)*0.3,0))))))/(MAX(G2:G43)-MIN(G2:G43)),"N/A")</f>
        <v>N/A</v>
      </c>
      <c r="H48" s="16" t="str">
        <f ca="1" t="array" ref="H48">IFERROR((AVERAGE(LARGE(H2:H43,ROW(INDIRECT("1:"&amp;ROUNDUP(COUNT(H2:H43)*0.3,0)))))-AVERAGE(SMALL(H2:H43,ROW(INDIRECT("1:"&amp;ROUNDUP(COUNT(H2:H43)*0.3,0))))))/(MAX(H2:H43)-MIN(H2:H43)),"N/A")</f>
        <v>N/A</v>
      </c>
      <c r="I48" s="16" t="str">
        <f ca="1" t="array" ref="I48">IFERROR((AVERAGE(LARGE(I2:I43,ROW(INDIRECT("1:"&amp;ROUNDUP(COUNT(I2:I43)*0.3,0)))))-AVERAGE(SMALL(I2:I43,ROW(INDIRECT("1:"&amp;ROUNDUP(COUNT(I2:I43)*0.3,0))))))/(MAX(I2:I43)-MIN(I2:I43)),"N/A")</f>
        <v>N/A</v>
      </c>
      <c r="J48" s="16" t="str">
        <f ca="1" t="array" ref="J48">IFERROR((AVERAGE(LARGE(J2:J43,ROW(INDIRECT("1:"&amp;ROUNDUP(COUNT(J2:J43)*0.3,0)))))-AVERAGE(SMALL(J2:J43,ROW(INDIRECT("1:"&amp;ROUNDUP(COUNT(J2:J43)*0.3,0))))))/(MAX(J2:J43)-MIN(J2:J43)),"N/A")</f>
        <v>N/A</v>
      </c>
      <c r="K48" s="16" t="str">
        <f ca="1" t="array" ref="K48">IFERROR((AVERAGE(LARGE(K2:K43,ROW(INDIRECT("1:"&amp;ROUNDUP(COUNT(K2:K43)*0.3,0)))))-AVERAGE(SMALL(K2:K43,ROW(INDIRECT("1:"&amp;ROUNDUP(COUNT(K2:K43)*0.3,0))))))/(MAX(K2:K43)-MIN(K2:K43)),"N/A")</f>
        <v>N/A</v>
      </c>
      <c r="L48" s="16" t="str">
        <f ca="1" t="array" ref="L48">IFERROR((AVERAGE(LARGE(L2:L43,ROW(INDIRECT("1:"&amp;ROUNDUP(COUNT(L2:L43)*0.3,0)))))-AVERAGE(SMALL(L2:L43,ROW(INDIRECT("1:"&amp;ROUNDUP(COUNT(L2:L43)*0.3,0))))))/(MAX(L2:L43)-MIN(L2:L43)),"N/A")</f>
        <v>N/A</v>
      </c>
      <c r="M48" s="16" t="str">
        <f ca="1" t="array" ref="M48">IFERROR((AVERAGE(LARGE(M2:M43,ROW(INDIRECT("1:"&amp;ROUNDUP(COUNT(M2:M43)*0.3,0)))))-AVERAGE(SMALL(M2:M43,ROW(INDIRECT("1:"&amp;ROUNDUP(COUNT(M2:M43)*0.3,0))))))/(MAX(M2:M43)-MIN(M2:M43)),"N/A")</f>
        <v>N/A</v>
      </c>
      <c r="N48" s="16" t="str">
        <f ca="1" t="array" ref="N48">IFERROR((AVERAGE(LARGE(N2:N43,ROW(INDIRECT("1:"&amp;ROUNDUP(COUNT(N2:N43)*0.3,0)))))-AVERAGE(SMALL(N2:N43,ROW(INDIRECT("1:"&amp;ROUNDUP(COUNT(N2:N43)*0.3,0))))))/(MAX(N2:N43)-MIN(N2:N43)),"N/A")</f>
        <v>N/A</v>
      </c>
      <c r="O48" s="16" t="str">
        <f ca="1" t="array" ref="O48">IFERROR((AVERAGE(LARGE(O2:O43,ROW(INDIRECT("1:"&amp;ROUNDUP(COUNT(O2:O43)*0.3,0)))))-AVERAGE(SMALL(O2:O43,ROW(INDIRECT("1:"&amp;ROUNDUP(COUNT(O2:O43)*0.3,0))))))/(MAX(O2:O43)-MIN(O2:O43)),"N/A")</f>
        <v>N/A</v>
      </c>
      <c r="P48" s="16" t="str">
        <f ca="1" t="array" ref="P48">IFERROR((AVERAGE(LARGE(P2:P43,ROW(INDIRECT("1:"&amp;ROUNDUP(COUNT(P2:P43)*0.3,0)))))-AVERAGE(SMALL(P2:P43,ROW(INDIRECT("1:"&amp;ROUNDUP(COUNT(P2:P43)*0.3,0))))))/(MAX(P2:P43)-MIN(P2:P43)),"N/A")</f>
        <v>N/A</v>
      </c>
      <c r="Q48" s="16" t="str">
        <f ca="1" t="array" ref="Q48">IFERROR((AVERAGE(LARGE(Q2:Q43,ROW(INDIRECT("1:"&amp;ROUNDUP(COUNT(Q2:Q43)*0.3,0)))))-AVERAGE(SMALL(Q2:Q43,ROW(INDIRECT("1:"&amp;ROUNDUP(COUNT(Q2:Q43)*0.3,0))))))/(MAX(Q2:Q43)-MIN(Q2:Q43)),"N/A")</f>
        <v>N/A</v>
      </c>
    </row>
    <row r="49" ht="23.25" customHeight="1" spans="1:17">
      <c r="A49" s="6">
        <v>46</v>
      </c>
      <c r="B49" s="32" t="s">
        <v>18</v>
      </c>
      <c r="C49" s="28" t="e">
        <f>IF(AND(COUNTA(C2:C43)&gt;0,OR(_xlfn.MODE.SNGL(C2:C43)=0,_xlfn.MODE.SNGL(C2:C43)=MIN(C2:C43),_xlfn.MODE.SNGL(C2:C43)&lt;MAX(C2:C43))),"تعالج","لا تعالج")</f>
        <v>#NAME?</v>
      </c>
      <c r="D49" s="28" t="e">
        <f>IF(AND(COUNTA(D2:D43)&gt;0,OR(_xlfn.MODE.SNGL(D2:D43)=0,_xlfn.MODE.SNGL(D2:D43)=MIN(D2:D43),_xlfn.MODE.SNGL(D2:D43)&lt;MAX(D2:D43))),"تعالج","لا تعالج")</f>
        <v>#NAME?</v>
      </c>
      <c r="E49" s="28" t="e">
        <f>IF(AND(COUNTA(E2:E43)&gt;0,OR(_xlfn.MODE.SNGL(E2:E43)=0,_xlfn.MODE.SNGL(E2:E43)=MIN(E2:E43),_xlfn.MODE.SNGL(E2:E43)&lt;MAX(E2:E43))),"تعالج","لا تعالج")</f>
        <v>#NAME?</v>
      </c>
      <c r="F49" s="28" t="e">
        <f>IF(AND(COUNTA(F2:F43)&gt;0,OR(_xlfn.MODE.SNGL(F2:F43)=0,_xlfn.MODE.SNGL(F2:F43)=MIN(F2:F43),_xlfn.MODE.SNGL(F2:F43)&lt;MAX(F2:F43))),"تعالج","لا تعالج")</f>
        <v>#NAME?</v>
      </c>
      <c r="G49" s="28" t="e">
        <f>IF(AND(COUNTA(G2:G43)&gt;0,OR(_xlfn.MODE.SNGL(G2:G43)=0,_xlfn.MODE.SNGL(G2:G43)=MIN(G2:G43),_xlfn.MODE.SNGL(G2:G43)&lt;MAX(G2:G43))),"تعالج","لا تعالج")</f>
        <v>#NAME?</v>
      </c>
      <c r="H49" s="28" t="e">
        <f>IF(AND(COUNTA(H2:H43)&gt;0,OR(_xlfn.MODE.SNGL(H2:H43)=0,_xlfn.MODE.SNGL(H2:H43)=MIN(H2:H43),_xlfn.MODE.SNGL(H2:H43)&lt;MAX(H2:H43))),"تعالج","لا تعالج")</f>
        <v>#NAME?</v>
      </c>
      <c r="I49" s="28" t="e">
        <f>IF(AND(COUNTA(I2:I43)&gt;0,OR(_xlfn.MODE.SNGL(I2:I43)=0,_xlfn.MODE.SNGL(I2:I43)=MIN(I2:I43),_xlfn.MODE.SNGL(I2:I43)&lt;MAX(I2:I43))),"تعالج","لا تعالج")</f>
        <v>#NAME?</v>
      </c>
      <c r="J49" s="28" t="e">
        <f>IF(AND(COUNTA(J2:J43)&gt;0,OR(_xlfn.MODE.SNGL(J2:J43)=0,_xlfn.MODE.SNGL(J2:J43)=MIN(J2:J43),_xlfn.MODE.SNGL(J2:J43)&lt;MAX(J2:J43))),"تعالج","لا تعالج")</f>
        <v>#NAME?</v>
      </c>
      <c r="K49" s="28" t="e">
        <f>IF(AND(COUNTA(K2:K43)&gt;0,OR(_xlfn.MODE.SNGL(K2:K43)=0,_xlfn.MODE.SNGL(K2:K43)=MIN(K2:K43),_xlfn.MODE.SNGL(K2:K43)&lt;MAX(K2:K43))),"تعالج","لا تعالج")</f>
        <v>#NAME?</v>
      </c>
      <c r="L49" s="28" t="e">
        <f>IF(AND(COUNTA(L2:L43)&gt;0,OR(_xlfn.MODE.SNGL(L2:L43)=0,_xlfn.MODE.SNGL(L2:L43)=MIN(L2:L43),_xlfn.MODE.SNGL(L2:L43)&lt;MAX(L2:L43))),"تعالج","لا تعالج")</f>
        <v>#NAME?</v>
      </c>
      <c r="M49" s="28" t="e">
        <f>IF(AND(COUNTA(M2:M43)&gt;0,OR(_xlfn.MODE.SNGL(M2:M43)=0,_xlfn.MODE.SNGL(M2:M43)=MIN(M2:M43),_xlfn.MODE.SNGL(M2:M43)&lt;MAX(M2:M43))),"تعالج","لا تعالج")</f>
        <v>#NAME?</v>
      </c>
      <c r="N49" s="28" t="e">
        <f>IF(AND(COUNTA(N2:N43)&gt;0,OR(_xlfn.MODE.SNGL(N2:N43)=0,_xlfn.MODE.SNGL(N2:N43)=MIN(N2:N43),_xlfn.MODE.SNGL(N2:N43)&lt;MAX(N2:N43))),"تعالج","لا تعالج")</f>
        <v>#NAME?</v>
      </c>
      <c r="O49" s="28" t="e">
        <f>IF(AND(COUNTA(O2:O43)&gt;0,OR(_xlfn.MODE.SNGL(O2:O43)=0,_xlfn.MODE.SNGL(O2:O43)=MIN(O2:O43),_xlfn.MODE.SNGL(O2:O43)&lt;MAX(O2:O43))),"تعالج","لا تعالج")</f>
        <v>#NAME?</v>
      </c>
      <c r="P49" s="28" t="e">
        <f>IF(AND(COUNTA(P2:P43)&gt;0,OR(_xlfn.MODE.SNGL(P2:P43)=0,_xlfn.MODE.SNGL(P2:P43)=MIN(P2:P43),_xlfn.MODE.SNGL(P2:P43)&lt;MAX(P2:P43))),"تعالج","لا تعالج")</f>
        <v>#NAME?</v>
      </c>
      <c r="Q49" s="16" t="e">
        <f>IF(AND(COUNTA(Q2:Q43)&gt;0,OR(_xlfn.MODE.SNGL(Q2:Q43)=0,_xlfn.MODE.SNGL(Q2:Q43)=MIN(Q2:Q43),_xlfn.MODE.SNGL(Q2:Q43)&lt;MAX(Q2:Q43))),"تعالج","لا تعالج")</f>
        <v>#NAME?</v>
      </c>
    </row>
  </sheetData>
  <mergeCells count="19">
    <mergeCell ref="C1:Q1"/>
    <mergeCell ref="A44:B4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topLeftCell="B1" workbookViewId="0">
      <selection activeCell="C48" sqref="C48:Q48"/>
    </sheetView>
  </sheetViews>
  <sheetFormatPr defaultColWidth="9" defaultRowHeight="15"/>
  <cols>
    <col min="2" max="2" width="39.3714285714286" customWidth="1"/>
  </cols>
  <sheetData>
    <row r="1" ht="23.25" customHeight="1" spans="2:17">
      <c r="B1" s="2"/>
      <c r="C1" s="22" t="s">
        <v>10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6"/>
    </row>
    <row r="2" spans="1:17">
      <c r="A2" s="4" t="s">
        <v>11</v>
      </c>
      <c r="B2" s="24" t="s">
        <v>12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</row>
    <row r="3" ht="23.25" customHeight="1" spans="1:17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ht="23.25" customHeight="1" spans="1:17">
      <c r="A4" s="6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ht="23.25" customHeight="1" spans="1:17">
      <c r="A5" s="6">
        <v>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ht="23.25" customHeight="1" spans="1:17">
      <c r="A6" s="6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ht="23.25" customHeight="1" spans="1:17">
      <c r="A7" s="6">
        <v>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ht="23.25" customHeight="1" spans="1:17">
      <c r="A8" s="6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ht="23.25" customHeight="1" spans="1:17">
      <c r="A9" s="6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ht="23.25" customHeight="1" spans="1:17">
      <c r="A10" s="6">
        <v>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ht="23.25" customHeight="1" spans="1:17">
      <c r="A11" s="6">
        <v>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ht="23.25" customHeight="1" spans="1:17">
      <c r="A12" s="6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ht="23.25" customHeight="1" spans="1:17">
      <c r="A13" s="6">
        <v>10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ht="23.25" customHeight="1" spans="1:17">
      <c r="A14" s="6">
        <v>11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ht="23.25" customHeight="1" spans="1:17">
      <c r="A15" s="6">
        <v>12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ht="23.25" customHeight="1" spans="1:17">
      <c r="A16" s="6">
        <v>13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ht="23.25" customHeight="1" spans="1:17">
      <c r="A17" s="6">
        <v>14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ht="23.25" customHeight="1" spans="1:17">
      <c r="A18" s="6">
        <v>15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23.25" customHeight="1" spans="1:17">
      <c r="A19" s="6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ht="23.25" customHeight="1" spans="1:17">
      <c r="A20" s="6">
        <v>17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ht="23.25" customHeight="1" spans="1:17">
      <c r="A21" s="6">
        <v>18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ht="23.25" customHeight="1" spans="1:17">
      <c r="A22" s="6">
        <v>19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ht="23.25" customHeight="1" spans="1:17">
      <c r="A23" s="6">
        <v>20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ht="23.25" customHeight="1" spans="1:17">
      <c r="A24" s="6">
        <v>21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ht="23.25" customHeight="1" spans="1:17">
      <c r="A25" s="6">
        <v>22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ht="23.25" customHeight="1" spans="1:17">
      <c r="A26" s="6">
        <v>23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ht="23.25" customHeight="1" spans="1:17">
      <c r="A27" s="6">
        <v>24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ht="23.25" customHeight="1" spans="1:17">
      <c r="A28" s="6">
        <v>25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ht="23.25" customHeight="1" spans="1:17">
      <c r="A29" s="6">
        <v>26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</row>
    <row r="30" ht="23.25" customHeight="1" spans="1:17">
      <c r="A30" s="6">
        <v>27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  <row r="31" ht="23.25" customHeight="1" spans="1:17">
      <c r="A31" s="6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ht="23.25" customHeight="1" spans="1:17">
      <c r="A32" s="6">
        <v>29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ht="23.25" customHeight="1" spans="1:17">
      <c r="A33" s="6">
        <v>30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ht="23.25" customHeight="1" spans="1:17">
      <c r="A34" s="6">
        <v>31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ht="23.25" customHeight="1" spans="1:17">
      <c r="A35" s="6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ht="23.25" customHeight="1" spans="1:17">
      <c r="A36" s="6">
        <v>33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ht="23.25" customHeight="1" spans="1:17">
      <c r="A37" s="6">
        <v>34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ht="23.25" customHeight="1" spans="1:17">
      <c r="A38" s="6">
        <v>35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ht="23.25" customHeight="1" spans="1:17">
      <c r="A39" s="6">
        <v>36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ht="23.25" customHeight="1" spans="1:17">
      <c r="A40" s="6">
        <v>37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ht="23.25" customHeight="1" spans="1:17">
      <c r="A41" s="6">
        <v>38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ht="23.25" customHeight="1" spans="1:17">
      <c r="A42" s="6">
        <v>39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ht="23.25" customHeight="1" spans="1:17">
      <c r="A43" s="6">
        <v>40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ht="23.25" customHeight="1" spans="1:17">
      <c r="A44" s="12" t="s">
        <v>13</v>
      </c>
      <c r="B44" s="26"/>
      <c r="C44" s="14">
        <f t="shared" ref="C44:Q44" si="0">SUM(C4:C43)</f>
        <v>0</v>
      </c>
      <c r="D44" s="14">
        <f t="shared" si="0"/>
        <v>0</v>
      </c>
      <c r="E44" s="14">
        <f t="shared" si="0"/>
        <v>0</v>
      </c>
      <c r="F44" s="14">
        <f t="shared" si="0"/>
        <v>0</v>
      </c>
      <c r="G44" s="14">
        <f t="shared" si="0"/>
        <v>0</v>
      </c>
      <c r="H44" s="14">
        <f t="shared" si="0"/>
        <v>0</v>
      </c>
      <c r="I44" s="14">
        <f t="shared" si="0"/>
        <v>0</v>
      </c>
      <c r="J44" s="14">
        <f t="shared" si="0"/>
        <v>0</v>
      </c>
      <c r="K44" s="14">
        <f t="shared" si="0"/>
        <v>0</v>
      </c>
      <c r="L44" s="14">
        <f t="shared" si="0"/>
        <v>0</v>
      </c>
      <c r="M44" s="14">
        <f t="shared" si="0"/>
        <v>0</v>
      </c>
      <c r="N44" s="14">
        <f t="shared" si="0"/>
        <v>0</v>
      </c>
      <c r="O44" s="14">
        <f t="shared" si="0"/>
        <v>0</v>
      </c>
      <c r="P44" s="14">
        <f t="shared" si="0"/>
        <v>0</v>
      </c>
      <c r="Q44" s="14">
        <f t="shared" si="0"/>
        <v>0</v>
      </c>
    </row>
    <row r="45" ht="23.25" customHeight="1" spans="1:17">
      <c r="A45" s="6">
        <v>42</v>
      </c>
      <c r="B45" s="27" t="s">
        <v>14</v>
      </c>
      <c r="C45" s="28" t="e">
        <f t="shared" ref="C45:Q45" si="1">AVERAGE(C4:C43)</f>
        <v>#DIV/0!</v>
      </c>
      <c r="D45" s="28" t="e">
        <f t="shared" si="1"/>
        <v>#DIV/0!</v>
      </c>
      <c r="E45" s="28" t="e">
        <f t="shared" si="1"/>
        <v>#DIV/0!</v>
      </c>
      <c r="F45" s="28" t="e">
        <f t="shared" si="1"/>
        <v>#DIV/0!</v>
      </c>
      <c r="G45" s="28" t="e">
        <f t="shared" si="1"/>
        <v>#DIV/0!</v>
      </c>
      <c r="H45" s="28" t="e">
        <f t="shared" si="1"/>
        <v>#DIV/0!</v>
      </c>
      <c r="I45" s="28" t="e">
        <f t="shared" si="1"/>
        <v>#DIV/0!</v>
      </c>
      <c r="J45" s="28" t="e">
        <f t="shared" si="1"/>
        <v>#DIV/0!</v>
      </c>
      <c r="K45" s="28" t="e">
        <f t="shared" si="1"/>
        <v>#DIV/0!</v>
      </c>
      <c r="L45" s="28" t="e">
        <f t="shared" si="1"/>
        <v>#DIV/0!</v>
      </c>
      <c r="M45" s="28" t="e">
        <f t="shared" si="1"/>
        <v>#DIV/0!</v>
      </c>
      <c r="N45" s="28" t="e">
        <f t="shared" si="1"/>
        <v>#DIV/0!</v>
      </c>
      <c r="O45" s="28" t="e">
        <f t="shared" si="1"/>
        <v>#DIV/0!</v>
      </c>
      <c r="P45" s="28" t="e">
        <f t="shared" si="1"/>
        <v>#DIV/0!</v>
      </c>
      <c r="Q45" s="28" t="e">
        <f t="shared" si="1"/>
        <v>#DIV/0!</v>
      </c>
    </row>
    <row r="46" ht="23.25" customHeight="1" spans="1:17">
      <c r="A46" s="6">
        <v>43</v>
      </c>
      <c r="B46" s="29" t="s">
        <v>15</v>
      </c>
      <c r="C46" s="28" t="e">
        <f>_xlfn.MODE.SNGL(C4:C43)</f>
        <v>#NAME?</v>
      </c>
      <c r="D46" s="28" t="e">
        <f>_xlfn.MODE.SNGL(D4:D43)</f>
        <v>#NAME?</v>
      </c>
      <c r="E46" s="28" t="e">
        <f>_xlfn.MODE.SNGL(E4:E43)</f>
        <v>#NAME?</v>
      </c>
      <c r="F46" s="28" t="e">
        <f>_xlfn.MODE.SNGL(F4:F43)</f>
        <v>#NAME?</v>
      </c>
      <c r="G46" s="28" t="e">
        <f>_xlfn.MODE.SNGL(G4:G43)</f>
        <v>#NAME?</v>
      </c>
      <c r="H46" s="28" t="e">
        <f>_xlfn.MODE.SNGL(H4:H43)</f>
        <v>#NAME?</v>
      </c>
      <c r="I46" s="28" t="e">
        <f>_xlfn.MODE.SNGL(I4:I43)</f>
        <v>#NAME?</v>
      </c>
      <c r="J46" s="28" t="e">
        <f>_xlfn.MODE.SNGL(J4:J43)</f>
        <v>#NAME?</v>
      </c>
      <c r="K46" s="28" t="e">
        <f>_xlfn.MODE.SNGL(K4:K43)</f>
        <v>#NAME?</v>
      </c>
      <c r="L46" s="28" t="e">
        <f>_xlfn.MODE.SNGL(L4:L43)</f>
        <v>#NAME?</v>
      </c>
      <c r="M46" s="28" t="e">
        <f>_xlfn.MODE.SNGL(M4:M43)</f>
        <v>#NAME?</v>
      </c>
      <c r="N46" s="28" t="e">
        <f>_xlfn.MODE.SNGL(N4:N43)</f>
        <v>#NAME?</v>
      </c>
      <c r="O46" s="28" t="e">
        <f>_xlfn.MODE.SNGL(O4:O43)</f>
        <v>#NAME?</v>
      </c>
      <c r="P46" s="28" t="e">
        <f>_xlfn.MODE.SNGL(P4:P43)</f>
        <v>#NAME?</v>
      </c>
      <c r="Q46" s="28" t="e">
        <f>_xlfn.MODE.SNGL(Q4:Q43)</f>
        <v>#NAME?</v>
      </c>
    </row>
    <row r="47" ht="23.25" customHeight="1" spans="1:17">
      <c r="A47" s="6">
        <v>44</v>
      </c>
      <c r="B47" s="30" t="s">
        <v>16</v>
      </c>
      <c r="C47" s="16">
        <f t="shared" ref="C47:Q47" si="2">COUNTIF(C2:C43,"&gt;=AVERAGE(C2:C43)")/COUNT(C2:C43)</f>
        <v>0</v>
      </c>
      <c r="D47" s="16">
        <f t="shared" si="2"/>
        <v>0</v>
      </c>
      <c r="E47" s="16">
        <f t="shared" si="2"/>
        <v>0</v>
      </c>
      <c r="F47" s="16">
        <f t="shared" si="2"/>
        <v>0</v>
      </c>
      <c r="G47" s="16">
        <f t="shared" si="2"/>
        <v>0</v>
      </c>
      <c r="H47" s="16">
        <f t="shared" si="2"/>
        <v>0</v>
      </c>
      <c r="I47" s="16">
        <f t="shared" si="2"/>
        <v>0</v>
      </c>
      <c r="J47" s="16">
        <f t="shared" si="2"/>
        <v>0</v>
      </c>
      <c r="K47" s="16">
        <f t="shared" si="2"/>
        <v>0</v>
      </c>
      <c r="L47" s="16">
        <f t="shared" si="2"/>
        <v>0</v>
      </c>
      <c r="M47" s="16">
        <f t="shared" si="2"/>
        <v>0</v>
      </c>
      <c r="N47" s="16">
        <f t="shared" si="2"/>
        <v>0</v>
      </c>
      <c r="O47" s="16">
        <f t="shared" si="2"/>
        <v>0</v>
      </c>
      <c r="P47" s="16">
        <f t="shared" si="2"/>
        <v>0</v>
      </c>
      <c r="Q47" s="16">
        <f t="shared" si="2"/>
        <v>0</v>
      </c>
    </row>
    <row r="48" ht="23.25" customHeight="1" spans="1:17">
      <c r="A48" s="6">
        <v>45</v>
      </c>
      <c r="B48" s="31" t="s">
        <v>17</v>
      </c>
      <c r="C48" s="16" t="str">
        <f ca="1" t="array" ref="C48">IFERROR((AVERAGE(LARGE(C2:C43,ROW(INDIRECT("1:"&amp;ROUNDUP(COUNT(C2:C43)*0.3,0)))))-AVERAGE(SMALL(C2:C43,ROW(INDIRECT("1:"&amp;ROUNDUP(COUNT(C2:C43)*0.3,0))))))/(MAX(C2:C43)-MIN(C2:C43)),"N/A")</f>
        <v>N/A</v>
      </c>
      <c r="D48" s="16" t="str">
        <f ca="1" t="array" ref="D48">IFERROR((AVERAGE(LARGE(D2:D43,ROW(INDIRECT("1:"&amp;ROUNDUP(COUNT(D2:D43)*0.3,0)))))-AVERAGE(SMALL(D2:D43,ROW(INDIRECT("1:"&amp;ROUNDUP(COUNT(D2:D43)*0.3,0))))))/(MAX(D2:D43)-MIN(D2:D43)),"N/A")</f>
        <v>N/A</v>
      </c>
      <c r="E48" s="16" t="str">
        <f ca="1" t="array" ref="E48">IFERROR((AVERAGE(LARGE(E2:E43,ROW(INDIRECT("1:"&amp;ROUNDUP(COUNT(E2:E43)*0.3,0)))))-AVERAGE(SMALL(E2:E43,ROW(INDIRECT("1:"&amp;ROUNDUP(COUNT(E2:E43)*0.3,0))))))/(MAX(E2:E43)-MIN(E2:E43)),"N/A")</f>
        <v>N/A</v>
      </c>
      <c r="F48" s="16" t="str">
        <f ca="1" t="array" ref="F48">IFERROR((AVERAGE(LARGE(F2:F43,ROW(INDIRECT("1:"&amp;ROUNDUP(COUNT(F2:F43)*0.3,0)))))-AVERAGE(SMALL(F2:F43,ROW(INDIRECT("1:"&amp;ROUNDUP(COUNT(F2:F43)*0.3,0))))))/(MAX(F2:F43)-MIN(F2:F43)),"N/A")</f>
        <v>N/A</v>
      </c>
      <c r="G48" s="16" t="str">
        <f ca="1" t="array" ref="G48">IFERROR((AVERAGE(LARGE(G2:G43,ROW(INDIRECT("1:"&amp;ROUNDUP(COUNT(G2:G43)*0.3,0)))))-AVERAGE(SMALL(G2:G43,ROW(INDIRECT("1:"&amp;ROUNDUP(COUNT(G2:G43)*0.3,0))))))/(MAX(G2:G43)-MIN(G2:G43)),"N/A")</f>
        <v>N/A</v>
      </c>
      <c r="H48" s="16" t="str">
        <f ca="1" t="array" ref="H48">IFERROR((AVERAGE(LARGE(H2:H43,ROW(INDIRECT("1:"&amp;ROUNDUP(COUNT(H2:H43)*0.3,0)))))-AVERAGE(SMALL(H2:H43,ROW(INDIRECT("1:"&amp;ROUNDUP(COUNT(H2:H43)*0.3,0))))))/(MAX(H2:H43)-MIN(H2:H43)),"N/A")</f>
        <v>N/A</v>
      </c>
      <c r="I48" s="16" t="str">
        <f ca="1" t="array" ref="I48">IFERROR((AVERAGE(LARGE(I2:I43,ROW(INDIRECT("1:"&amp;ROUNDUP(COUNT(I2:I43)*0.3,0)))))-AVERAGE(SMALL(I2:I43,ROW(INDIRECT("1:"&amp;ROUNDUP(COUNT(I2:I43)*0.3,0))))))/(MAX(I2:I43)-MIN(I2:I43)),"N/A")</f>
        <v>N/A</v>
      </c>
      <c r="J48" s="16" t="str">
        <f ca="1" t="array" ref="J48">IFERROR((AVERAGE(LARGE(J2:J43,ROW(INDIRECT("1:"&amp;ROUNDUP(COUNT(J2:J43)*0.3,0)))))-AVERAGE(SMALL(J2:J43,ROW(INDIRECT("1:"&amp;ROUNDUP(COUNT(J2:J43)*0.3,0))))))/(MAX(J2:J43)-MIN(J2:J43)),"N/A")</f>
        <v>N/A</v>
      </c>
      <c r="K48" s="16" t="str">
        <f ca="1" t="array" ref="K48">IFERROR((AVERAGE(LARGE(K2:K43,ROW(INDIRECT("1:"&amp;ROUNDUP(COUNT(K2:K43)*0.3,0)))))-AVERAGE(SMALL(K2:K43,ROW(INDIRECT("1:"&amp;ROUNDUP(COUNT(K2:K43)*0.3,0))))))/(MAX(K2:K43)-MIN(K2:K43)),"N/A")</f>
        <v>N/A</v>
      </c>
      <c r="L48" s="16" t="str">
        <f ca="1" t="array" ref="L48">IFERROR((AVERAGE(LARGE(L2:L43,ROW(INDIRECT("1:"&amp;ROUNDUP(COUNT(L2:L43)*0.3,0)))))-AVERAGE(SMALL(L2:L43,ROW(INDIRECT("1:"&amp;ROUNDUP(COUNT(L2:L43)*0.3,0))))))/(MAX(L2:L43)-MIN(L2:L43)),"N/A")</f>
        <v>N/A</v>
      </c>
      <c r="M48" s="16" t="str">
        <f ca="1" t="array" ref="M48">IFERROR((AVERAGE(LARGE(M2:M43,ROW(INDIRECT("1:"&amp;ROUNDUP(COUNT(M2:M43)*0.3,0)))))-AVERAGE(SMALL(M2:M43,ROW(INDIRECT("1:"&amp;ROUNDUP(COUNT(M2:M43)*0.3,0))))))/(MAX(M2:M43)-MIN(M2:M43)),"N/A")</f>
        <v>N/A</v>
      </c>
      <c r="N48" s="16" t="str">
        <f ca="1" t="array" ref="N48">IFERROR((AVERAGE(LARGE(N2:N43,ROW(INDIRECT("1:"&amp;ROUNDUP(COUNT(N2:N43)*0.3,0)))))-AVERAGE(SMALL(N2:N43,ROW(INDIRECT("1:"&amp;ROUNDUP(COUNT(N2:N43)*0.3,0))))))/(MAX(N2:N43)-MIN(N2:N43)),"N/A")</f>
        <v>N/A</v>
      </c>
      <c r="O48" s="16" t="str">
        <f ca="1" t="array" ref="O48">IFERROR((AVERAGE(LARGE(O2:O43,ROW(INDIRECT("1:"&amp;ROUNDUP(COUNT(O2:O43)*0.3,0)))))-AVERAGE(SMALL(O2:O43,ROW(INDIRECT("1:"&amp;ROUNDUP(COUNT(O2:O43)*0.3,0))))))/(MAX(O2:O43)-MIN(O2:O43)),"N/A")</f>
        <v>N/A</v>
      </c>
      <c r="P48" s="16" t="str">
        <f ca="1" t="array" ref="P48">IFERROR((AVERAGE(LARGE(P2:P43,ROW(INDIRECT("1:"&amp;ROUNDUP(COUNT(P2:P43)*0.3,0)))))-AVERAGE(SMALL(P2:P43,ROW(INDIRECT("1:"&amp;ROUNDUP(COUNT(P2:P43)*0.3,0))))))/(MAX(P2:P43)-MIN(P2:P43)),"N/A")</f>
        <v>N/A</v>
      </c>
      <c r="Q48" s="16" t="str">
        <f ca="1" t="array" ref="Q48">IFERROR((AVERAGE(LARGE(Q2:Q43,ROW(INDIRECT("1:"&amp;ROUNDUP(COUNT(Q2:Q43)*0.3,0)))))-AVERAGE(SMALL(Q2:Q43,ROW(INDIRECT("1:"&amp;ROUNDUP(COUNT(Q2:Q43)*0.3,0))))))/(MAX(Q2:Q43)-MIN(Q2:Q43)),"N/A")</f>
        <v>N/A</v>
      </c>
    </row>
    <row r="49" ht="23.25" customHeight="1" spans="1:17">
      <c r="A49" s="6">
        <v>46</v>
      </c>
      <c r="B49" s="32" t="s">
        <v>18</v>
      </c>
      <c r="C49" s="28" t="e">
        <f>IF(AND(COUNTA(C2:C43)&gt;0,OR(_xlfn.MODE.SNGL(C2:C43)=0,_xlfn.MODE.SNGL(C2:C43)=MIN(C2:C43),_xlfn.MODE.SNGL(C2:C43)&lt;MAX(C2:C43))),"تعالج","لا تعالج")</f>
        <v>#NAME?</v>
      </c>
      <c r="D49" s="28" t="e">
        <f>IF(AND(COUNTA(D2:D43)&gt;0,OR(_xlfn.MODE.SNGL(D2:D43)=0,_xlfn.MODE.SNGL(D2:D43)=MIN(D2:D43),_xlfn.MODE.SNGL(D2:D43)&lt;MAX(D2:D43))),"تعالج","لا تعالج")</f>
        <v>#NAME?</v>
      </c>
      <c r="E49" s="28" t="e">
        <f>IF(AND(COUNTA(E2:E43)&gt;0,OR(_xlfn.MODE.SNGL(E2:E43)=0,_xlfn.MODE.SNGL(E2:E43)=MIN(E2:E43),_xlfn.MODE.SNGL(E2:E43)&lt;MAX(E2:E43))),"تعالج","لا تعالج")</f>
        <v>#NAME?</v>
      </c>
      <c r="F49" s="28" t="e">
        <f>IF(AND(COUNTA(F2:F43)&gt;0,OR(_xlfn.MODE.SNGL(F2:F43)=0,_xlfn.MODE.SNGL(F2:F43)=MIN(F2:F43),_xlfn.MODE.SNGL(F2:F43)&lt;MAX(F2:F43))),"تعالج","لا تعالج")</f>
        <v>#NAME?</v>
      </c>
      <c r="G49" s="28" t="e">
        <f>IF(AND(COUNTA(G2:G43)&gt;0,OR(_xlfn.MODE.SNGL(G2:G43)=0,_xlfn.MODE.SNGL(G2:G43)=MIN(G2:G43),_xlfn.MODE.SNGL(G2:G43)&lt;MAX(G2:G43))),"تعالج","لا تعالج")</f>
        <v>#NAME?</v>
      </c>
      <c r="H49" s="28" t="e">
        <f>IF(AND(COUNTA(H2:H43)&gt;0,OR(_xlfn.MODE.SNGL(H2:H43)=0,_xlfn.MODE.SNGL(H2:H43)=MIN(H2:H43),_xlfn.MODE.SNGL(H2:H43)&lt;MAX(H2:H43))),"تعالج","لا تعالج")</f>
        <v>#NAME?</v>
      </c>
      <c r="I49" s="28" t="e">
        <f>IF(AND(COUNTA(I2:I43)&gt;0,OR(_xlfn.MODE.SNGL(I2:I43)=0,_xlfn.MODE.SNGL(I2:I43)=MIN(I2:I43),_xlfn.MODE.SNGL(I2:I43)&lt;MAX(I2:I43))),"تعالج","لا تعالج")</f>
        <v>#NAME?</v>
      </c>
      <c r="J49" s="28" t="e">
        <f>IF(AND(COUNTA(J2:J43)&gt;0,OR(_xlfn.MODE.SNGL(J2:J43)=0,_xlfn.MODE.SNGL(J2:J43)=MIN(J2:J43),_xlfn.MODE.SNGL(J2:J43)&lt;MAX(J2:J43))),"تعالج","لا تعالج")</f>
        <v>#NAME?</v>
      </c>
      <c r="K49" s="28" t="e">
        <f>IF(AND(COUNTA(K2:K43)&gt;0,OR(_xlfn.MODE.SNGL(K2:K43)=0,_xlfn.MODE.SNGL(K2:K43)=MIN(K2:K43),_xlfn.MODE.SNGL(K2:K43)&lt;MAX(K2:K43))),"تعالج","لا تعالج")</f>
        <v>#NAME?</v>
      </c>
      <c r="L49" s="28" t="e">
        <f>IF(AND(COUNTA(L2:L43)&gt;0,OR(_xlfn.MODE.SNGL(L2:L43)=0,_xlfn.MODE.SNGL(L2:L43)=MIN(L2:L43),_xlfn.MODE.SNGL(L2:L43)&lt;MAX(L2:L43))),"تعالج","لا تعالج")</f>
        <v>#NAME?</v>
      </c>
      <c r="M49" s="28" t="e">
        <f>IF(AND(COUNTA(M2:M43)&gt;0,OR(_xlfn.MODE.SNGL(M2:M43)=0,_xlfn.MODE.SNGL(M2:M43)=MIN(M2:M43),_xlfn.MODE.SNGL(M2:M43)&lt;MAX(M2:M43))),"تعالج","لا تعالج")</f>
        <v>#NAME?</v>
      </c>
      <c r="N49" s="28" t="e">
        <f>IF(AND(COUNTA(N2:N43)&gt;0,OR(_xlfn.MODE.SNGL(N2:N43)=0,_xlfn.MODE.SNGL(N2:N43)=MIN(N2:N43),_xlfn.MODE.SNGL(N2:N43)&lt;MAX(N2:N43))),"تعالج","لا تعالج")</f>
        <v>#NAME?</v>
      </c>
      <c r="O49" s="28" t="e">
        <f>IF(AND(COUNTA(O2:O43)&gt;0,OR(_xlfn.MODE.SNGL(O2:O43)=0,_xlfn.MODE.SNGL(O2:O43)=MIN(O2:O43),_xlfn.MODE.SNGL(O2:O43)&lt;MAX(O2:O43))),"تعالج","لا تعالج")</f>
        <v>#NAME?</v>
      </c>
      <c r="P49" s="28" t="e">
        <f>IF(AND(COUNTA(P2:P43)&gt;0,OR(_xlfn.MODE.SNGL(P2:P43)=0,_xlfn.MODE.SNGL(P2:P43)=MIN(P2:P43),_xlfn.MODE.SNGL(P2:P43)&lt;MAX(P2:P43))),"تعالج","لا تعالج")</f>
        <v>#NAME?</v>
      </c>
      <c r="Q49" s="28" t="e">
        <f>IF(AND(COUNTA(Q2:Q43)&gt;0,OR(_xlfn.MODE.SNGL(Q2:Q43)=0,_xlfn.MODE.SNGL(Q2:Q43)=MIN(Q2:Q43),_xlfn.MODE.SNGL(Q2:Q43)&lt;MAX(Q2:Q43))),"تعالج","لا تعالج")</f>
        <v>#NAME?</v>
      </c>
    </row>
  </sheetData>
  <mergeCells count="19">
    <mergeCell ref="C1:Q1"/>
    <mergeCell ref="A44:B4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9"/>
  <sheetViews>
    <sheetView tabSelected="1" zoomScale="60" zoomScaleNormal="60" workbookViewId="0">
      <selection activeCell="A44" sqref="A44:B44"/>
    </sheetView>
  </sheetViews>
  <sheetFormatPr defaultColWidth="9" defaultRowHeight="15"/>
  <cols>
    <col min="2" max="2" width="39.3714285714286" customWidth="1"/>
  </cols>
  <sheetData>
    <row r="1" ht="23.25" customHeight="1" spans="2:17">
      <c r="B1" s="2"/>
      <c r="C1" s="22" t="s">
        <v>10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6"/>
    </row>
    <row r="2" customHeight="1" spans="1:47">
      <c r="A2" s="4" t="s">
        <v>11</v>
      </c>
      <c r="B2" s="24" t="s">
        <v>12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  <c r="Z2" s="6">
        <v>24</v>
      </c>
      <c r="AA2" s="6">
        <v>25</v>
      </c>
      <c r="AB2" s="6">
        <v>26</v>
      </c>
      <c r="AC2" s="6">
        <v>27</v>
      </c>
      <c r="AD2" s="6">
        <v>28</v>
      </c>
      <c r="AE2" s="6">
        <v>29</v>
      </c>
      <c r="AF2" s="6">
        <v>30</v>
      </c>
      <c r="AG2" s="6">
        <v>31</v>
      </c>
      <c r="AH2" s="6">
        <v>32</v>
      </c>
      <c r="AI2" s="6">
        <v>33</v>
      </c>
      <c r="AJ2" s="6">
        <v>34</v>
      </c>
      <c r="AK2" s="6">
        <v>35</v>
      </c>
      <c r="AL2" s="6">
        <v>36</v>
      </c>
      <c r="AM2" s="6">
        <v>37</v>
      </c>
      <c r="AN2" s="6">
        <v>38</v>
      </c>
      <c r="AO2" s="6">
        <v>39</v>
      </c>
      <c r="AP2" s="6">
        <v>40</v>
      </c>
      <c r="AQ2" s="6">
        <v>41</v>
      </c>
      <c r="AR2" s="6">
        <v>42</v>
      </c>
      <c r="AS2" s="6">
        <v>43</v>
      </c>
      <c r="AT2" s="6">
        <v>44</v>
      </c>
      <c r="AU2" s="6">
        <v>45</v>
      </c>
    </row>
    <row r="3" ht="23.25" customHeight="1" spans="1:47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</row>
    <row r="4" ht="23.25" customHeight="1" spans="1:47">
      <c r="A4" s="6">
        <v>1</v>
      </c>
      <c r="B4" s="11" t="s">
        <v>19</v>
      </c>
      <c r="C4" s="11">
        <v>2</v>
      </c>
      <c r="D4" s="11">
        <v>1</v>
      </c>
      <c r="E4" s="11">
        <v>2</v>
      </c>
      <c r="F4" s="11">
        <v>1</v>
      </c>
      <c r="G4" s="11">
        <v>2</v>
      </c>
      <c r="H4" s="11">
        <v>1</v>
      </c>
      <c r="I4" s="11">
        <v>3</v>
      </c>
      <c r="J4" s="11">
        <v>2</v>
      </c>
      <c r="K4" s="11">
        <v>2</v>
      </c>
      <c r="L4" s="11">
        <v>1</v>
      </c>
      <c r="M4" s="11">
        <v>1</v>
      </c>
      <c r="N4" s="11">
        <v>3</v>
      </c>
      <c r="O4" s="11">
        <v>1</v>
      </c>
      <c r="P4" s="11">
        <v>3</v>
      </c>
      <c r="Q4" s="11">
        <v>1</v>
      </c>
      <c r="R4" s="11">
        <v>2</v>
      </c>
      <c r="S4" s="11">
        <v>2</v>
      </c>
      <c r="T4" s="11">
        <v>2</v>
      </c>
      <c r="U4" s="11">
        <v>1</v>
      </c>
      <c r="V4" s="11">
        <v>1</v>
      </c>
      <c r="W4" s="11">
        <v>0</v>
      </c>
      <c r="X4" s="11">
        <v>3</v>
      </c>
      <c r="Y4" s="11">
        <v>4</v>
      </c>
      <c r="Z4" s="11">
        <v>1</v>
      </c>
      <c r="AA4" s="11">
        <v>2</v>
      </c>
      <c r="AB4" s="11">
        <v>2</v>
      </c>
      <c r="AC4" s="11">
        <v>1</v>
      </c>
      <c r="AD4" s="11">
        <v>3</v>
      </c>
      <c r="AE4" s="11">
        <v>1</v>
      </c>
      <c r="AF4" s="33">
        <v>4</v>
      </c>
      <c r="AG4" s="33">
        <v>1</v>
      </c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</row>
    <row r="5" ht="23.25" customHeight="1" spans="1:47">
      <c r="A5" s="6">
        <v>2</v>
      </c>
      <c r="B5" s="11" t="s">
        <v>20</v>
      </c>
      <c r="C5" s="11">
        <v>2</v>
      </c>
      <c r="D5" s="11">
        <v>1</v>
      </c>
      <c r="E5" s="11">
        <v>2</v>
      </c>
      <c r="F5" s="11">
        <v>0</v>
      </c>
      <c r="G5" s="11">
        <v>2</v>
      </c>
      <c r="H5" s="11">
        <v>0</v>
      </c>
      <c r="I5" s="11">
        <v>3</v>
      </c>
      <c r="J5" s="11">
        <v>2</v>
      </c>
      <c r="K5" s="11">
        <v>2</v>
      </c>
      <c r="L5" s="11">
        <v>1</v>
      </c>
      <c r="M5" s="11">
        <v>1</v>
      </c>
      <c r="N5" s="11">
        <v>2</v>
      </c>
      <c r="O5" s="11">
        <v>1</v>
      </c>
      <c r="P5" s="11">
        <v>3</v>
      </c>
      <c r="Q5" s="11">
        <v>1</v>
      </c>
      <c r="R5" s="11">
        <v>2</v>
      </c>
      <c r="S5" s="11">
        <v>2</v>
      </c>
      <c r="T5" s="11">
        <v>2</v>
      </c>
      <c r="U5" s="11">
        <v>1</v>
      </c>
      <c r="V5" s="11">
        <v>0</v>
      </c>
      <c r="W5" s="11">
        <v>1</v>
      </c>
      <c r="X5" s="11">
        <v>3</v>
      </c>
      <c r="Y5" s="11">
        <v>4</v>
      </c>
      <c r="Z5" s="11">
        <v>1</v>
      </c>
      <c r="AA5" s="11">
        <v>1</v>
      </c>
      <c r="AB5" s="11">
        <v>2</v>
      </c>
      <c r="AC5" s="11">
        <v>1</v>
      </c>
      <c r="AD5" s="11">
        <v>3</v>
      </c>
      <c r="AE5" s="11">
        <v>1</v>
      </c>
      <c r="AF5" s="34">
        <v>4</v>
      </c>
      <c r="AG5" s="34">
        <v>1</v>
      </c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</row>
    <row r="6" ht="23.25" customHeight="1" spans="1:47">
      <c r="A6" s="6">
        <v>3</v>
      </c>
      <c r="B6" s="11" t="s">
        <v>21</v>
      </c>
      <c r="C6" s="11">
        <v>2</v>
      </c>
      <c r="D6" s="11">
        <v>1</v>
      </c>
      <c r="E6" s="11">
        <v>1</v>
      </c>
      <c r="F6" s="11">
        <v>1</v>
      </c>
      <c r="G6" s="11">
        <v>2</v>
      </c>
      <c r="H6" s="11">
        <v>1</v>
      </c>
      <c r="I6" s="11">
        <v>3</v>
      </c>
      <c r="J6" s="11">
        <v>0</v>
      </c>
      <c r="K6" s="11">
        <v>2</v>
      </c>
      <c r="L6" s="11">
        <v>0</v>
      </c>
      <c r="M6" s="11">
        <v>1</v>
      </c>
      <c r="N6" s="11">
        <v>3</v>
      </c>
      <c r="O6" s="11">
        <v>0</v>
      </c>
      <c r="P6" s="11">
        <v>1</v>
      </c>
      <c r="Q6" s="11">
        <v>1</v>
      </c>
      <c r="R6" s="11">
        <v>2</v>
      </c>
      <c r="S6" s="11">
        <v>2</v>
      </c>
      <c r="T6" s="11">
        <v>2</v>
      </c>
      <c r="U6" s="11">
        <v>0</v>
      </c>
      <c r="V6" s="11">
        <v>1</v>
      </c>
      <c r="W6" s="11">
        <v>0</v>
      </c>
      <c r="X6" s="11">
        <v>2</v>
      </c>
      <c r="Y6" s="11">
        <v>0</v>
      </c>
      <c r="Z6" s="11">
        <v>1</v>
      </c>
      <c r="AA6" s="11">
        <v>1</v>
      </c>
      <c r="AB6" s="11">
        <v>2</v>
      </c>
      <c r="AC6" s="11">
        <v>1</v>
      </c>
      <c r="AD6" s="11">
        <v>3</v>
      </c>
      <c r="AE6" s="11">
        <v>1</v>
      </c>
      <c r="AF6" s="33">
        <v>4</v>
      </c>
      <c r="AG6" s="33">
        <v>0</v>
      </c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</row>
    <row r="7" ht="23.25" customHeight="1" spans="1:47">
      <c r="A7" s="6">
        <v>4</v>
      </c>
      <c r="B7" s="11" t="s">
        <v>22</v>
      </c>
      <c r="C7" s="11">
        <v>1</v>
      </c>
      <c r="D7" s="11">
        <v>1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2</v>
      </c>
      <c r="L7" s="11">
        <v>1</v>
      </c>
      <c r="M7" s="11">
        <v>1</v>
      </c>
      <c r="N7" s="11">
        <v>0</v>
      </c>
      <c r="O7" s="11">
        <v>1</v>
      </c>
      <c r="P7" s="11">
        <v>0</v>
      </c>
      <c r="Q7" s="11">
        <v>1</v>
      </c>
      <c r="R7" s="11">
        <v>0</v>
      </c>
      <c r="S7" s="11">
        <v>0</v>
      </c>
      <c r="T7" s="11">
        <v>0</v>
      </c>
      <c r="U7" s="11">
        <v>1</v>
      </c>
      <c r="V7" s="11">
        <v>1</v>
      </c>
      <c r="W7" s="11">
        <v>0</v>
      </c>
      <c r="X7" s="11">
        <v>3</v>
      </c>
      <c r="Y7" s="11">
        <v>2</v>
      </c>
      <c r="Z7" s="11">
        <v>1</v>
      </c>
      <c r="AA7" s="11">
        <v>2</v>
      </c>
      <c r="AB7" s="11">
        <v>2</v>
      </c>
      <c r="AC7" s="11">
        <v>1</v>
      </c>
      <c r="AD7" s="11">
        <v>0</v>
      </c>
      <c r="AE7" s="11">
        <v>1</v>
      </c>
      <c r="AF7" s="34">
        <v>0</v>
      </c>
      <c r="AG7" s="34">
        <v>0</v>
      </c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</row>
    <row r="8" ht="23.25" customHeight="1" spans="1:47">
      <c r="A8" s="6">
        <v>5</v>
      </c>
      <c r="B8" s="11" t="s">
        <v>23</v>
      </c>
      <c r="C8" s="11">
        <v>1</v>
      </c>
      <c r="D8" s="11">
        <v>1</v>
      </c>
      <c r="E8" s="11">
        <v>1</v>
      </c>
      <c r="F8" s="11">
        <v>1</v>
      </c>
      <c r="G8" s="11">
        <v>2</v>
      </c>
      <c r="H8" s="11">
        <v>0</v>
      </c>
      <c r="I8" s="11">
        <v>1</v>
      </c>
      <c r="J8" s="11">
        <v>0</v>
      </c>
      <c r="K8" s="11">
        <v>1</v>
      </c>
      <c r="L8" s="11">
        <v>1</v>
      </c>
      <c r="M8" s="11">
        <v>1</v>
      </c>
      <c r="N8" s="11">
        <v>0</v>
      </c>
      <c r="O8" s="11">
        <v>1</v>
      </c>
      <c r="P8" s="11">
        <v>0</v>
      </c>
      <c r="Q8" s="11">
        <v>1</v>
      </c>
      <c r="R8" s="11">
        <v>0</v>
      </c>
      <c r="S8" s="11">
        <v>2</v>
      </c>
      <c r="T8" s="11">
        <v>2</v>
      </c>
      <c r="U8" s="11">
        <v>1</v>
      </c>
      <c r="V8" s="11">
        <v>0</v>
      </c>
      <c r="W8" s="11">
        <v>0</v>
      </c>
      <c r="X8" s="11">
        <v>3</v>
      </c>
      <c r="Y8" s="11">
        <v>1</v>
      </c>
      <c r="Z8" s="11">
        <v>1</v>
      </c>
      <c r="AA8" s="11">
        <v>1</v>
      </c>
      <c r="AB8" s="11">
        <v>2</v>
      </c>
      <c r="AC8" s="11">
        <v>1</v>
      </c>
      <c r="AD8" s="11">
        <v>1</v>
      </c>
      <c r="AE8" s="11">
        <v>1</v>
      </c>
      <c r="AF8" s="33">
        <v>2</v>
      </c>
      <c r="AG8" s="33">
        <v>0</v>
      </c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</row>
    <row r="9" ht="23.25" customHeight="1" spans="1:47">
      <c r="A9" s="6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</row>
    <row r="10" ht="23.25" customHeight="1" spans="1:47">
      <c r="A10" s="6">
        <v>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</row>
    <row r="11" ht="23.25" customHeight="1" spans="1:47">
      <c r="A11" s="6">
        <v>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</row>
    <row r="12" ht="23.25" customHeight="1" spans="1:47">
      <c r="A12" s="6">
        <v>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</row>
    <row r="13" ht="23.25" customHeight="1" spans="1:47">
      <c r="A13" s="6">
        <v>10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</row>
    <row r="14" ht="23.25" customHeight="1" spans="1:47">
      <c r="A14" s="6">
        <v>11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</row>
    <row r="15" ht="23.25" customHeight="1" spans="1:47">
      <c r="A15" s="6">
        <v>12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</row>
    <row r="16" ht="23.25" customHeight="1" spans="1:47">
      <c r="A16" s="6">
        <v>13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</row>
    <row r="17" ht="23.25" customHeight="1" spans="1:47">
      <c r="A17" s="6">
        <v>14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</row>
    <row r="18" ht="23.25" customHeight="1" spans="1:47">
      <c r="A18" s="6">
        <v>15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</row>
    <row r="19" ht="23.25" customHeight="1" spans="1:47">
      <c r="A19" s="6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</row>
    <row r="20" ht="23.25" customHeight="1" spans="1:47">
      <c r="A20" s="6">
        <v>17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</row>
    <row r="21" ht="23.25" customHeight="1" spans="1:47">
      <c r="A21" s="6">
        <v>18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</row>
    <row r="22" ht="23.25" customHeight="1" spans="1:47">
      <c r="A22" s="6">
        <v>19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</row>
    <row r="23" ht="23.25" customHeight="1" spans="1:47">
      <c r="A23" s="6">
        <v>20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</row>
    <row r="24" ht="23.25" customHeight="1" spans="1:47">
      <c r="A24" s="6">
        <v>21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</row>
    <row r="25" ht="23.25" customHeight="1" spans="1:47">
      <c r="A25" s="6">
        <v>22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</row>
    <row r="26" ht="23.25" customHeight="1" spans="1:47">
      <c r="A26" s="6">
        <v>23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</row>
    <row r="27" ht="23.25" customHeight="1" spans="1:47">
      <c r="A27" s="6">
        <v>24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</row>
    <row r="28" ht="23.25" customHeight="1" spans="1:47">
      <c r="A28" s="6">
        <v>25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</row>
    <row r="29" ht="23.25" customHeight="1" spans="1:47">
      <c r="A29" s="6">
        <v>26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</row>
    <row r="30" ht="23.25" customHeight="1" spans="1:47">
      <c r="A30" s="6">
        <v>27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</row>
    <row r="31" ht="23.25" customHeight="1" spans="1:47">
      <c r="A31" s="6">
        <v>28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</row>
    <row r="32" ht="23.25" customHeight="1" spans="1:47">
      <c r="A32" s="6">
        <v>29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</row>
    <row r="33" ht="23.25" customHeight="1" spans="1:47">
      <c r="A33" s="6">
        <v>30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</row>
    <row r="34" ht="23.25" customHeight="1" spans="1:47">
      <c r="A34" s="6">
        <v>31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</row>
    <row r="35" ht="23.25" customHeight="1" spans="1:47">
      <c r="A35" s="6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</row>
    <row r="36" ht="23.25" customHeight="1" spans="1:47">
      <c r="A36" s="6">
        <v>33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</row>
    <row r="37" ht="23.25" customHeight="1" spans="1:47">
      <c r="A37" s="6">
        <v>34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</row>
    <row r="38" ht="23.25" customHeight="1" spans="1:47">
      <c r="A38" s="6">
        <v>35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</row>
    <row r="39" ht="23.25" customHeight="1" spans="1:47">
      <c r="A39" s="6">
        <v>36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</row>
    <row r="40" ht="23.25" customHeight="1" spans="1:47">
      <c r="A40" s="6">
        <v>37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</row>
    <row r="41" ht="23.25" customHeight="1" spans="1:47">
      <c r="A41" s="6">
        <v>38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</row>
    <row r="42" ht="23.25" customHeight="1" spans="1:47">
      <c r="A42" s="6">
        <v>39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</row>
    <row r="43" ht="23.25" customHeight="1" spans="1:47">
      <c r="A43" s="6">
        <v>40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</row>
    <row r="44" ht="23.25" customHeight="1" spans="1:47">
      <c r="A44" s="12" t="s">
        <v>13</v>
      </c>
      <c r="B44" s="26"/>
      <c r="C44" s="14">
        <f t="shared" ref="C44:AE44" si="0">SUM(C4:C43)</f>
        <v>8</v>
      </c>
      <c r="D44" s="14">
        <f t="shared" si="0"/>
        <v>5</v>
      </c>
      <c r="E44" s="14">
        <f t="shared" si="0"/>
        <v>7</v>
      </c>
      <c r="F44" s="14">
        <f t="shared" si="0"/>
        <v>3</v>
      </c>
      <c r="G44" s="14">
        <f t="shared" si="0"/>
        <v>8</v>
      </c>
      <c r="H44" s="14">
        <f t="shared" si="0"/>
        <v>2</v>
      </c>
      <c r="I44" s="14">
        <f t="shared" si="0"/>
        <v>10</v>
      </c>
      <c r="J44" s="14">
        <f t="shared" si="0"/>
        <v>4</v>
      </c>
      <c r="K44" s="14">
        <f t="shared" si="0"/>
        <v>9</v>
      </c>
      <c r="L44" s="14">
        <f t="shared" si="0"/>
        <v>4</v>
      </c>
      <c r="M44" s="14">
        <f t="shared" si="0"/>
        <v>5</v>
      </c>
      <c r="N44" s="14">
        <f t="shared" si="0"/>
        <v>8</v>
      </c>
      <c r="O44" s="14">
        <f t="shared" si="0"/>
        <v>4</v>
      </c>
      <c r="P44" s="14">
        <f t="shared" si="0"/>
        <v>7</v>
      </c>
      <c r="Q44" s="14">
        <f t="shared" si="0"/>
        <v>5</v>
      </c>
      <c r="R44" s="14">
        <f t="shared" si="0"/>
        <v>6</v>
      </c>
      <c r="S44" s="14">
        <f t="shared" si="0"/>
        <v>8</v>
      </c>
      <c r="T44" s="14">
        <f t="shared" si="0"/>
        <v>8</v>
      </c>
      <c r="U44" s="14">
        <f t="shared" si="0"/>
        <v>4</v>
      </c>
      <c r="V44" s="14">
        <f t="shared" si="0"/>
        <v>3</v>
      </c>
      <c r="W44" s="14">
        <f t="shared" si="0"/>
        <v>1</v>
      </c>
      <c r="X44" s="14">
        <f t="shared" si="0"/>
        <v>14</v>
      </c>
      <c r="Y44" s="14">
        <f t="shared" si="0"/>
        <v>11</v>
      </c>
      <c r="Z44" s="14">
        <f t="shared" si="0"/>
        <v>5</v>
      </c>
      <c r="AA44" s="14">
        <f t="shared" si="0"/>
        <v>7</v>
      </c>
      <c r="AB44" s="14">
        <f t="shared" si="0"/>
        <v>10</v>
      </c>
      <c r="AC44" s="14">
        <f t="shared" si="0"/>
        <v>5</v>
      </c>
      <c r="AD44" s="14">
        <f t="shared" si="0"/>
        <v>10</v>
      </c>
      <c r="AE44" s="14">
        <f t="shared" si="0"/>
        <v>5</v>
      </c>
      <c r="AF44" s="14">
        <f t="shared" ref="AF44" si="1">SUM(AF4:AF43)</f>
        <v>14</v>
      </c>
      <c r="AG44" s="14">
        <f t="shared" ref="AG44" si="2">SUM(AG4:AG43)</f>
        <v>2</v>
      </c>
      <c r="AH44" s="14">
        <f t="shared" ref="AH44" si="3">SUM(AH4:AH43)</f>
        <v>0</v>
      </c>
      <c r="AI44" s="14">
        <f t="shared" ref="AI44" si="4">SUM(AI4:AI43)</f>
        <v>0</v>
      </c>
      <c r="AJ44" s="14">
        <f t="shared" ref="AJ44" si="5">SUM(AJ4:AJ43)</f>
        <v>0</v>
      </c>
      <c r="AK44" s="14">
        <f t="shared" ref="AK44" si="6">SUM(AK4:AK43)</f>
        <v>0</v>
      </c>
      <c r="AL44" s="14">
        <f t="shared" ref="AL44" si="7">SUM(AL4:AL43)</f>
        <v>0</v>
      </c>
      <c r="AM44" s="14">
        <f t="shared" ref="AM44" si="8">SUM(AM4:AM43)</f>
        <v>0</v>
      </c>
      <c r="AN44" s="14">
        <f t="shared" ref="AN44" si="9">SUM(AN4:AN43)</f>
        <v>0</v>
      </c>
      <c r="AO44" s="14">
        <f t="shared" ref="AO44" si="10">SUM(AO4:AO43)</f>
        <v>0</v>
      </c>
      <c r="AP44" s="14">
        <f t="shared" ref="AP44" si="11">SUM(AP4:AP43)</f>
        <v>0</v>
      </c>
      <c r="AQ44" s="14">
        <f t="shared" ref="AQ44" si="12">SUM(AQ4:AQ43)</f>
        <v>0</v>
      </c>
      <c r="AR44" s="14">
        <f t="shared" ref="AR44" si="13">SUM(AR4:AR43)</f>
        <v>0</v>
      </c>
      <c r="AS44" s="14">
        <f t="shared" ref="AS44" si="14">SUM(AS4:AS43)</f>
        <v>0</v>
      </c>
      <c r="AT44" s="14">
        <f t="shared" ref="AT44" si="15">SUM(AT4:AT43)</f>
        <v>0</v>
      </c>
      <c r="AU44" s="14">
        <f t="shared" ref="AU44" si="16">SUM(AU4:AU43)</f>
        <v>0</v>
      </c>
    </row>
    <row r="45" ht="23.25" customHeight="1" spans="1:47">
      <c r="A45" s="6">
        <v>42</v>
      </c>
      <c r="B45" s="27" t="s">
        <v>14</v>
      </c>
      <c r="C45" s="28">
        <f t="shared" ref="C45:AU45" si="17">AVERAGE(C4:C43)</f>
        <v>1.6</v>
      </c>
      <c r="D45" s="28">
        <f t="shared" si="17"/>
        <v>1</v>
      </c>
      <c r="E45" s="28">
        <f t="shared" si="17"/>
        <v>1.4</v>
      </c>
      <c r="F45" s="28">
        <f t="shared" si="17"/>
        <v>0.6</v>
      </c>
      <c r="G45" s="28">
        <f t="shared" si="17"/>
        <v>1.6</v>
      </c>
      <c r="H45" s="28">
        <f t="shared" si="17"/>
        <v>0.4</v>
      </c>
      <c r="I45" s="28">
        <f t="shared" si="17"/>
        <v>2</v>
      </c>
      <c r="J45" s="28">
        <f t="shared" si="17"/>
        <v>0.8</v>
      </c>
      <c r="K45" s="28">
        <f t="shared" si="17"/>
        <v>1.8</v>
      </c>
      <c r="L45" s="28">
        <f t="shared" si="17"/>
        <v>0.8</v>
      </c>
      <c r="M45" s="28">
        <f t="shared" si="17"/>
        <v>1</v>
      </c>
      <c r="N45" s="28">
        <f t="shared" si="17"/>
        <v>1.6</v>
      </c>
      <c r="O45" s="28">
        <f t="shared" si="17"/>
        <v>0.8</v>
      </c>
      <c r="P45" s="28">
        <f t="shared" si="17"/>
        <v>1.4</v>
      </c>
      <c r="Q45" s="28">
        <f t="shared" si="17"/>
        <v>1</v>
      </c>
      <c r="R45" s="28">
        <f t="shared" si="17"/>
        <v>1.2</v>
      </c>
      <c r="S45" s="28">
        <f t="shared" si="17"/>
        <v>1.6</v>
      </c>
      <c r="T45" s="28">
        <f t="shared" si="17"/>
        <v>1.6</v>
      </c>
      <c r="U45" s="28">
        <f t="shared" si="17"/>
        <v>0.8</v>
      </c>
      <c r="V45" s="28">
        <f t="shared" si="17"/>
        <v>0.6</v>
      </c>
      <c r="W45" s="28">
        <f t="shared" si="17"/>
        <v>0.2</v>
      </c>
      <c r="X45" s="28">
        <f t="shared" si="17"/>
        <v>2.8</v>
      </c>
      <c r="Y45" s="28">
        <f t="shared" si="17"/>
        <v>2.2</v>
      </c>
      <c r="Z45" s="28">
        <f t="shared" si="17"/>
        <v>1</v>
      </c>
      <c r="AA45" s="28">
        <f t="shared" si="17"/>
        <v>1.4</v>
      </c>
      <c r="AB45" s="28">
        <f t="shared" si="17"/>
        <v>2</v>
      </c>
      <c r="AC45" s="28">
        <f t="shared" si="17"/>
        <v>1</v>
      </c>
      <c r="AD45" s="28">
        <f t="shared" si="17"/>
        <v>2</v>
      </c>
      <c r="AE45" s="28">
        <f t="shared" si="17"/>
        <v>1</v>
      </c>
      <c r="AF45" s="28">
        <f t="shared" si="17"/>
        <v>2.8</v>
      </c>
      <c r="AG45" s="28">
        <f t="shared" si="17"/>
        <v>0.4</v>
      </c>
      <c r="AH45" s="28" t="e">
        <f t="shared" si="17"/>
        <v>#DIV/0!</v>
      </c>
      <c r="AI45" s="28" t="e">
        <f t="shared" si="17"/>
        <v>#DIV/0!</v>
      </c>
      <c r="AJ45" s="28" t="e">
        <f t="shared" si="17"/>
        <v>#DIV/0!</v>
      </c>
      <c r="AK45" s="28" t="e">
        <f t="shared" si="17"/>
        <v>#DIV/0!</v>
      </c>
      <c r="AL45" s="28" t="e">
        <f t="shared" si="17"/>
        <v>#DIV/0!</v>
      </c>
      <c r="AM45" s="28" t="e">
        <f t="shared" si="17"/>
        <v>#DIV/0!</v>
      </c>
      <c r="AN45" s="28" t="e">
        <f t="shared" si="17"/>
        <v>#DIV/0!</v>
      </c>
      <c r="AO45" s="28" t="e">
        <f t="shared" si="17"/>
        <v>#DIV/0!</v>
      </c>
      <c r="AP45" s="28" t="e">
        <f t="shared" si="17"/>
        <v>#DIV/0!</v>
      </c>
      <c r="AQ45" s="28" t="e">
        <f t="shared" si="17"/>
        <v>#DIV/0!</v>
      </c>
      <c r="AR45" s="28" t="e">
        <f t="shared" si="17"/>
        <v>#DIV/0!</v>
      </c>
      <c r="AS45" s="28" t="e">
        <f t="shared" si="17"/>
        <v>#DIV/0!</v>
      </c>
      <c r="AT45" s="28" t="e">
        <f t="shared" si="17"/>
        <v>#DIV/0!</v>
      </c>
      <c r="AU45" s="28" t="e">
        <f t="shared" si="17"/>
        <v>#DIV/0!</v>
      </c>
    </row>
    <row r="46" ht="23.25" customHeight="1" spans="1:47">
      <c r="A46" s="6">
        <v>43</v>
      </c>
      <c r="B46" s="29" t="s">
        <v>15</v>
      </c>
      <c r="C46" s="28" t="e">
        <f>_xlfn.MODE.SNGL(C4:C43)</f>
        <v>#NAME?</v>
      </c>
      <c r="D46" s="28" t="e">
        <f>_xlfn.MODE.SNGL(D4:D43)</f>
        <v>#NAME?</v>
      </c>
      <c r="E46" s="28" t="e">
        <f>_xlfn.MODE.SNGL(E4:E43)</f>
        <v>#NAME?</v>
      </c>
      <c r="F46" s="28" t="e">
        <f>_xlfn.MODE.SNGL(F4:F43)</f>
        <v>#NAME?</v>
      </c>
      <c r="G46" s="28" t="e">
        <f>_xlfn.MODE.SNGL(G4:G43)</f>
        <v>#NAME?</v>
      </c>
      <c r="H46" s="28" t="e">
        <f>_xlfn.MODE.SNGL(H4:H43)</f>
        <v>#NAME?</v>
      </c>
      <c r="I46" s="28" t="e">
        <f>_xlfn.MODE.SNGL(I4:I43)</f>
        <v>#NAME?</v>
      </c>
      <c r="J46" s="28" t="e">
        <f>_xlfn.MODE.SNGL(J4:J43)</f>
        <v>#NAME?</v>
      </c>
      <c r="K46" s="28" t="e">
        <f>_xlfn.MODE.SNGL(K4:K43)</f>
        <v>#NAME?</v>
      </c>
      <c r="L46" s="28" t="e">
        <f>_xlfn.MODE.SNGL(L4:L43)</f>
        <v>#NAME?</v>
      </c>
      <c r="M46" s="28" t="e">
        <f>_xlfn.MODE.SNGL(M4:M43)</f>
        <v>#NAME?</v>
      </c>
      <c r="N46" s="28" t="e">
        <f>_xlfn.MODE.SNGL(N4:N43)</f>
        <v>#NAME?</v>
      </c>
      <c r="O46" s="28" t="e">
        <f>_xlfn.MODE.SNGL(O4:O43)</f>
        <v>#NAME?</v>
      </c>
      <c r="P46" s="28" t="e">
        <f>_xlfn.MODE.SNGL(P4:P43)</f>
        <v>#NAME?</v>
      </c>
      <c r="Q46" s="28" t="e">
        <f>_xlfn.MODE.SNGL(Q4:Q43)</f>
        <v>#NAME?</v>
      </c>
      <c r="R46" s="28" t="e">
        <f>_xlfn.MODE.SNGL(R4:R43)</f>
        <v>#NAME?</v>
      </c>
      <c r="S46" s="28" t="e">
        <f>_xlfn.MODE.SNGL(S4:S43)</f>
        <v>#NAME?</v>
      </c>
      <c r="T46" s="28" t="e">
        <f>_xlfn.MODE.SNGL(T4:T43)</f>
        <v>#NAME?</v>
      </c>
      <c r="U46" s="28" t="e">
        <f>_xlfn.MODE.SNGL(U4:U43)</f>
        <v>#NAME?</v>
      </c>
      <c r="V46" s="28" t="e">
        <f>_xlfn.MODE.SNGL(V4:V43)</f>
        <v>#NAME?</v>
      </c>
      <c r="W46" s="28" t="e">
        <f>_xlfn.MODE.SNGL(W4:W43)</f>
        <v>#NAME?</v>
      </c>
      <c r="X46" s="28" t="e">
        <f>_xlfn.MODE.SNGL(X4:X43)</f>
        <v>#NAME?</v>
      </c>
      <c r="Y46" s="28" t="e">
        <f>_xlfn.MODE.SNGL(Y4:Y43)</f>
        <v>#NAME?</v>
      </c>
      <c r="Z46" s="28" t="e">
        <f>_xlfn.MODE.SNGL(Z4:Z43)</f>
        <v>#NAME?</v>
      </c>
      <c r="AA46" s="28" t="e">
        <f>_xlfn.MODE.SNGL(AA4:AA43)</f>
        <v>#NAME?</v>
      </c>
      <c r="AB46" s="28" t="e">
        <f>_xlfn.MODE.SNGL(AB4:AB43)</f>
        <v>#NAME?</v>
      </c>
      <c r="AC46" s="28" t="e">
        <f>_xlfn.MODE.SNGL(AC4:AC43)</f>
        <v>#NAME?</v>
      </c>
      <c r="AD46" s="28" t="e">
        <f>_xlfn.MODE.SNGL(AD4:AD43)</f>
        <v>#NAME?</v>
      </c>
      <c r="AE46" s="28" t="e">
        <f>_xlfn.MODE.SNGL(AE4:AE43)</f>
        <v>#NAME?</v>
      </c>
      <c r="AF46" s="28" t="e">
        <f>_xlfn.MODE.SNGL(AF4:AF43)</f>
        <v>#NAME?</v>
      </c>
      <c r="AG46" s="28" t="e">
        <f>_xlfn.MODE.SNGL(AG4:AG43)</f>
        <v>#NAME?</v>
      </c>
      <c r="AH46" s="28" t="e">
        <f>_xlfn.MODE.SNGL(AH4:AH43)</f>
        <v>#NAME?</v>
      </c>
      <c r="AI46" s="28" t="e">
        <f>_xlfn.MODE.SNGL(AI4:AI43)</f>
        <v>#NAME?</v>
      </c>
      <c r="AJ46" s="28" t="e">
        <f>_xlfn.MODE.SNGL(AJ4:AJ43)</f>
        <v>#NAME?</v>
      </c>
      <c r="AK46" s="28" t="e">
        <f>_xlfn.MODE.SNGL(AK4:AK43)</f>
        <v>#NAME?</v>
      </c>
      <c r="AL46" s="28" t="e">
        <f>_xlfn.MODE.SNGL(AL4:AL43)</f>
        <v>#NAME?</v>
      </c>
      <c r="AM46" s="28" t="e">
        <f>_xlfn.MODE.SNGL(AM4:AM43)</f>
        <v>#NAME?</v>
      </c>
      <c r="AN46" s="28" t="e">
        <f>_xlfn.MODE.SNGL(AN4:AN43)</f>
        <v>#NAME?</v>
      </c>
      <c r="AO46" s="28" t="e">
        <f>_xlfn.MODE.SNGL(AO4:AO43)</f>
        <v>#NAME?</v>
      </c>
      <c r="AP46" s="28" t="e">
        <f>_xlfn.MODE.SNGL(AP4:AP43)</f>
        <v>#NAME?</v>
      </c>
      <c r="AQ46" s="28" t="e">
        <f>_xlfn.MODE.SNGL(AQ4:AQ43)</f>
        <v>#NAME?</v>
      </c>
      <c r="AR46" s="28" t="e">
        <f>_xlfn.MODE.SNGL(AR4:AR43)</f>
        <v>#NAME?</v>
      </c>
      <c r="AS46" s="28" t="e">
        <f>_xlfn.MODE.SNGL(AS4:AS43)</f>
        <v>#NAME?</v>
      </c>
      <c r="AT46" s="28" t="e">
        <f>_xlfn.MODE.SNGL(AT4:AT43)</f>
        <v>#NAME?</v>
      </c>
      <c r="AU46" s="28" t="e">
        <f>_xlfn.MODE.SNGL(AU4:AU43)</f>
        <v>#NAME?</v>
      </c>
    </row>
    <row r="47" ht="23.25" customHeight="1" spans="1:47">
      <c r="A47" s="6">
        <v>44</v>
      </c>
      <c r="B47" s="30" t="s">
        <v>16</v>
      </c>
      <c r="C47" s="16">
        <f t="shared" ref="C47:AU47" si="18">COUNTIF(C2:C43,"&gt;=AVERAGE(C2:C43)")/COUNT(C2:C43)</f>
        <v>0</v>
      </c>
      <c r="D47" s="16">
        <f t="shared" si="18"/>
        <v>0</v>
      </c>
      <c r="E47" s="16">
        <f t="shared" si="18"/>
        <v>0</v>
      </c>
      <c r="F47" s="16">
        <f t="shared" si="18"/>
        <v>0</v>
      </c>
      <c r="G47" s="16">
        <f t="shared" si="18"/>
        <v>0</v>
      </c>
      <c r="H47" s="16">
        <f t="shared" si="18"/>
        <v>0</v>
      </c>
      <c r="I47" s="16">
        <f t="shared" si="18"/>
        <v>0</v>
      </c>
      <c r="J47" s="16">
        <f t="shared" si="18"/>
        <v>0</v>
      </c>
      <c r="K47" s="16">
        <f t="shared" si="18"/>
        <v>0</v>
      </c>
      <c r="L47" s="16">
        <f t="shared" si="18"/>
        <v>0</v>
      </c>
      <c r="M47" s="16">
        <f t="shared" si="18"/>
        <v>0</v>
      </c>
      <c r="N47" s="16">
        <f t="shared" si="18"/>
        <v>0</v>
      </c>
      <c r="O47" s="16">
        <f t="shared" si="18"/>
        <v>0</v>
      </c>
      <c r="P47" s="16">
        <f t="shared" si="18"/>
        <v>0</v>
      </c>
      <c r="Q47" s="16">
        <f t="shared" si="18"/>
        <v>0</v>
      </c>
      <c r="R47" s="16">
        <f t="shared" si="18"/>
        <v>0</v>
      </c>
      <c r="S47" s="16">
        <f t="shared" si="18"/>
        <v>0</v>
      </c>
      <c r="T47" s="16">
        <f t="shared" si="18"/>
        <v>0</v>
      </c>
      <c r="U47" s="16">
        <f t="shared" si="18"/>
        <v>0</v>
      </c>
      <c r="V47" s="16">
        <f t="shared" si="18"/>
        <v>0</v>
      </c>
      <c r="W47" s="16">
        <f t="shared" si="18"/>
        <v>0</v>
      </c>
      <c r="X47" s="16">
        <f t="shared" si="18"/>
        <v>0</v>
      </c>
      <c r="Y47" s="16">
        <f t="shared" si="18"/>
        <v>0</v>
      </c>
      <c r="Z47" s="16">
        <f t="shared" si="18"/>
        <v>0</v>
      </c>
      <c r="AA47" s="16">
        <f t="shared" si="18"/>
        <v>0</v>
      </c>
      <c r="AB47" s="16">
        <f t="shared" si="18"/>
        <v>0</v>
      </c>
      <c r="AC47" s="16">
        <f t="shared" si="18"/>
        <v>0</v>
      </c>
      <c r="AD47" s="16">
        <f t="shared" si="18"/>
        <v>0</v>
      </c>
      <c r="AE47" s="16">
        <f t="shared" si="18"/>
        <v>0</v>
      </c>
      <c r="AF47" s="16">
        <f t="shared" si="18"/>
        <v>0</v>
      </c>
      <c r="AG47" s="16">
        <f t="shared" si="18"/>
        <v>0</v>
      </c>
      <c r="AH47" s="16">
        <f t="shared" si="18"/>
        <v>0</v>
      </c>
      <c r="AI47" s="16">
        <f t="shared" si="18"/>
        <v>0</v>
      </c>
      <c r="AJ47" s="16">
        <f t="shared" si="18"/>
        <v>0</v>
      </c>
      <c r="AK47" s="16">
        <f t="shared" si="18"/>
        <v>0</v>
      </c>
      <c r="AL47" s="16">
        <f t="shared" si="18"/>
        <v>0</v>
      </c>
      <c r="AM47" s="16">
        <f t="shared" si="18"/>
        <v>0</v>
      </c>
      <c r="AN47" s="16">
        <f t="shared" si="18"/>
        <v>0</v>
      </c>
      <c r="AO47" s="16">
        <f t="shared" si="18"/>
        <v>0</v>
      </c>
      <c r="AP47" s="16">
        <f t="shared" si="18"/>
        <v>0</v>
      </c>
      <c r="AQ47" s="16">
        <f t="shared" si="18"/>
        <v>0</v>
      </c>
      <c r="AR47" s="16">
        <f t="shared" si="18"/>
        <v>0</v>
      </c>
      <c r="AS47" s="16">
        <f t="shared" si="18"/>
        <v>0</v>
      </c>
      <c r="AT47" s="16">
        <f t="shared" si="18"/>
        <v>0</v>
      </c>
      <c r="AU47" s="16">
        <f t="shared" si="18"/>
        <v>0</v>
      </c>
    </row>
    <row r="48" ht="23.25" customHeight="1" spans="1:47">
      <c r="A48" s="6">
        <v>45</v>
      </c>
      <c r="B48" s="31" t="s">
        <v>17</v>
      </c>
      <c r="C48" s="16">
        <f ca="1" t="array" ref="C48">IFERROR((AVERAGE(LARGE(C2:C43,ROW(INDIRECT("1:"&amp;ROUNDUP(COUNT(C2:C43)*0.3,0)))))-AVERAGE(SMALL(C2:C43,ROW(INDIRECT("1:"&amp;ROUNDUP(COUNT(C2:C43)*0.3,0))))))/(MAX(C2:C43)-MIN(C2:C43)),"N/A")</f>
        <v>1</v>
      </c>
      <c r="D48" s="16">
        <f ca="1" t="array" ref="D48">IFERROR((AVERAGE(LARGE(D2:D43,ROW(INDIRECT("1:"&amp;ROUNDUP(COUNT(D2:D43)*0.3,0)))))-AVERAGE(SMALL(D2:D43,ROW(INDIRECT("1:"&amp;ROUNDUP(COUNT(D2:D43)*0.3,0))))))/(MAX(D2:D43)-MIN(D2:D43)),"N/A")</f>
        <v>0.5</v>
      </c>
      <c r="E48" s="16">
        <f ca="1" t="array" ref="E48">IFERROR((AVERAGE(LARGE(E2:E43,ROW(INDIRECT("1:"&amp;ROUNDUP(COUNT(E2:E43)*0.3,0)))))-AVERAGE(SMALL(E2:E43,ROW(INDIRECT("1:"&amp;ROUNDUP(COUNT(E2:E43)*0.3,0))))))/(MAX(E2:E43)-MIN(E2:E43)),"N/A")</f>
        <v>0.75</v>
      </c>
      <c r="F48" s="16">
        <f ca="1" t="array" ref="F48">IFERROR((AVERAGE(LARGE(F2:F43,ROW(INDIRECT("1:"&amp;ROUNDUP(COUNT(F2:F43)*0.3,0)))))-AVERAGE(SMALL(F2:F43,ROW(INDIRECT("1:"&amp;ROUNDUP(COUNT(F2:F43)*0.3,0))))))/(MAX(F2:F43)-MIN(F2:F43)),"N/A")</f>
        <v>0.625</v>
      </c>
      <c r="G48" s="16">
        <f ca="1" t="array" ref="G48">IFERROR((AVERAGE(LARGE(G2:G43,ROW(INDIRECT("1:"&amp;ROUNDUP(COUNT(G2:G43)*0.3,0)))))-AVERAGE(SMALL(G2:G43,ROW(INDIRECT("1:"&amp;ROUNDUP(COUNT(G2:G43)*0.3,0))))))/(MAX(G2:G43)-MIN(G2:G43)),"N/A")</f>
        <v>0.5</v>
      </c>
      <c r="H48" s="16">
        <f ca="1" t="array" ref="H48">IFERROR((AVERAGE(LARGE(H2:H43,ROW(INDIRECT("1:"&amp;ROUNDUP(COUNT(H2:H43)*0.3,0)))))-AVERAGE(SMALL(H2:H43,ROW(INDIRECT("1:"&amp;ROUNDUP(COUNT(H2:H43)*0.3,0))))))/(MAX(H2:H43)-MIN(H2:H43)),"N/A")</f>
        <v>0.583333333333333</v>
      </c>
      <c r="I48" s="16">
        <f ca="1" t="array" ref="I48">IFERROR((AVERAGE(LARGE(I2:I43,ROW(INDIRECT("1:"&amp;ROUNDUP(COUNT(I2:I43)*0.3,0)))))-AVERAGE(SMALL(I2:I43,ROW(INDIRECT("1:"&amp;ROUNDUP(COUNT(I2:I43)*0.3,0))))))/(MAX(I2:I43)-MIN(I2:I43)),"N/A")</f>
        <v>0.642857142857143</v>
      </c>
      <c r="J48" s="16">
        <f ca="1" t="array" ref="J48">IFERROR((AVERAGE(LARGE(J2:J43,ROW(INDIRECT("1:"&amp;ROUNDUP(COUNT(J2:J43)*0.3,0)))))-AVERAGE(SMALL(J2:J43,ROW(INDIRECT("1:"&amp;ROUNDUP(COUNT(J2:J43)*0.3,0))))))/(MAX(J2:J43)-MIN(J2:J43)),"N/A")</f>
        <v>0.625</v>
      </c>
      <c r="K48" s="16">
        <f ca="1" t="array" ref="K48">IFERROR((AVERAGE(LARGE(K2:K43,ROW(INDIRECT("1:"&amp;ROUNDUP(COUNT(K2:K43)*0.3,0)))))-AVERAGE(SMALL(K2:K43,ROW(INDIRECT("1:"&amp;ROUNDUP(COUNT(K2:K43)*0.3,0))))))/(MAX(K2:K43)-MIN(K2:K43)),"N/A")</f>
        <v>0.5</v>
      </c>
      <c r="L48" s="16">
        <f ca="1" t="array" ref="L48">IFERROR((AVERAGE(LARGE(L2:L43,ROW(INDIRECT("1:"&amp;ROUNDUP(COUNT(L2:L43)*0.3,0)))))-AVERAGE(SMALL(L2:L43,ROW(INDIRECT("1:"&amp;ROUNDUP(COUNT(L2:L43)*0.3,0))))))/(MAX(L2:L43)-MIN(L2:L43)),"N/A")</f>
        <v>0.5</v>
      </c>
      <c r="M48" s="16">
        <f ca="1" t="array" ref="M48">IFERROR((AVERAGE(LARGE(M2:M43,ROW(INDIRECT("1:"&amp;ROUNDUP(COUNT(M2:M43)*0.3,0)))))-AVERAGE(SMALL(M2:M43,ROW(INDIRECT("1:"&amp;ROUNDUP(COUNT(M2:M43)*0.3,0))))))/(MAX(M2:M43)-MIN(M2:M43)),"N/A")</f>
        <v>0.5</v>
      </c>
      <c r="N48" s="16">
        <f ca="1" t="array" ref="N48">IFERROR((AVERAGE(LARGE(N2:N43,ROW(INDIRECT("1:"&amp;ROUNDUP(COUNT(N2:N43)*0.3,0)))))-AVERAGE(SMALL(N2:N43,ROW(INDIRECT("1:"&amp;ROUNDUP(COUNT(N2:N43)*0.3,0))))))/(MAX(N2:N43)-MIN(N2:N43)),"N/A")</f>
        <v>0.625</v>
      </c>
      <c r="O48" s="16">
        <f ca="1" t="array" ref="O48">IFERROR((AVERAGE(LARGE(O2:O43,ROW(INDIRECT("1:"&amp;ROUNDUP(COUNT(O2:O43)*0.3,0)))))-AVERAGE(SMALL(O2:O43,ROW(INDIRECT("1:"&amp;ROUNDUP(COUNT(O2:O43)*0.3,0))))))/(MAX(O2:O43)-MIN(O2:O43)),"N/A")</f>
        <v>0.5</v>
      </c>
      <c r="P48" s="16">
        <f ca="1" t="array" ref="P48">IFERROR((AVERAGE(LARGE(P2:P43,ROW(INDIRECT("1:"&amp;ROUNDUP(COUNT(P2:P43)*0.3,0)))))-AVERAGE(SMALL(P2:P43,ROW(INDIRECT("1:"&amp;ROUNDUP(COUNT(P2:P43)*0.3,0))))))/(MAX(P2:P43)-MIN(P2:P43)),"N/A")</f>
        <v>0.607142857142857</v>
      </c>
      <c r="Q48" s="16">
        <f ca="1" t="array" ref="Q48">IFERROR((AVERAGE(LARGE(Q2:Q43,ROW(INDIRECT("1:"&amp;ROUNDUP(COUNT(Q2:Q43)*0.3,0)))))-AVERAGE(SMALL(Q2:Q43,ROW(INDIRECT("1:"&amp;ROUNDUP(COUNT(Q2:Q43)*0.3,0))))))/(MAX(Q2:Q43)-MIN(Q2:Q43)),"N/A")</f>
        <v>0.5</v>
      </c>
      <c r="R48" s="16">
        <f ca="1" t="array" ref="R48">IFERROR((AVERAGE(LARGE(R2:R43,ROW(INDIRECT("1:"&amp;ROUNDUP(COUNT(R2:R43)*0.3,0)))))-AVERAGE(SMALL(R2:R43,ROW(INDIRECT("1:"&amp;ROUNDUP(COUNT(R2:R43)*0.3,0))))))/(MAX(R2:R43)-MIN(R2:R43)),"N/A")</f>
        <v>0.5625</v>
      </c>
      <c r="S48" s="16">
        <f ca="1" t="array" ref="S48">IFERROR((AVERAGE(LARGE(S2:S43,ROW(INDIRECT("1:"&amp;ROUNDUP(COUNT(S2:S43)*0.3,0)))))-AVERAGE(SMALL(S2:S43,ROW(INDIRECT("1:"&amp;ROUNDUP(COUNT(S2:S43)*0.3,0))))))/(MAX(S2:S43)-MIN(S2:S43)),"N/A")</f>
        <v>0.5</v>
      </c>
      <c r="T48" s="16">
        <f ca="1" t="array" ref="T48">IFERROR((AVERAGE(LARGE(T2:T43,ROW(INDIRECT("1:"&amp;ROUNDUP(COUNT(T2:T43)*0.3,0)))))-AVERAGE(SMALL(T2:T43,ROW(INDIRECT("1:"&amp;ROUNDUP(COUNT(T2:T43)*0.3,0))))))/(MAX(T2:T43)-MIN(T2:T43)),"N/A")</f>
        <v>0.5</v>
      </c>
      <c r="U48" s="16">
        <f ca="1" t="array" ref="U48">IFERROR((AVERAGE(LARGE(U2:U43,ROW(INDIRECT("1:"&amp;ROUNDUP(COUNT(U2:U43)*0.3,0)))))-AVERAGE(SMALL(U2:U43,ROW(INDIRECT("1:"&amp;ROUNDUP(COUNT(U2:U43)*0.3,0))))))/(MAX(U2:U43)-MIN(U2:U43)),"N/A")</f>
        <v>0.5</v>
      </c>
      <c r="V48" s="16">
        <f ca="1" t="array" ref="V48">IFERROR((AVERAGE(LARGE(V2:V43,ROW(INDIRECT("1:"&amp;ROUNDUP(COUNT(V2:V43)*0.3,0)))))-AVERAGE(SMALL(V2:V43,ROW(INDIRECT("1:"&amp;ROUNDUP(COUNT(V2:V43)*0.3,0))))))/(MAX(V2:V43)-MIN(V2:V43)),"N/A")</f>
        <v>0.525</v>
      </c>
      <c r="W48" s="16">
        <f ca="1" t="array" ref="W48">IFERROR((AVERAGE(LARGE(W2:W43,ROW(INDIRECT("1:"&amp;ROUNDUP(COUNT(W2:W43)*0.3,0)))))-AVERAGE(SMALL(W2:W43,ROW(INDIRECT("1:"&amp;ROUNDUP(COUNT(W2:W43)*0.3,0))))))/(MAX(W2:W43)-MIN(W2:W43)),"N/A")</f>
        <v>0.523809523809524</v>
      </c>
      <c r="X48" s="16">
        <f ca="1" t="array" ref="X48">IFERROR((AVERAGE(LARGE(X2:X43,ROW(INDIRECT("1:"&amp;ROUNDUP(COUNT(X2:X43)*0.3,0)))))-AVERAGE(SMALL(X2:X43,ROW(INDIRECT("1:"&amp;ROUNDUP(COUNT(X2:X43)*0.3,0))))))/(MAX(X2:X43)-MIN(X2:X43)),"N/A")</f>
        <v>0.5</v>
      </c>
      <c r="Y48" s="16">
        <f ca="1" t="array" ref="Y48">IFERROR((AVERAGE(LARGE(Y2:Y43,ROW(INDIRECT("1:"&amp;ROUNDUP(COUNT(Y2:Y43)*0.3,0)))))-AVERAGE(SMALL(Y2:Y43,ROW(INDIRECT("1:"&amp;ROUNDUP(COUNT(Y2:Y43)*0.3,0))))))/(MAX(Y2:Y43)-MIN(Y2:Y43)),"N/A")</f>
        <v>0.565217391304348</v>
      </c>
      <c r="Z48" s="16">
        <f ca="1" t="array" ref="Z48">IFERROR((AVERAGE(LARGE(Z2:Z43,ROW(INDIRECT("1:"&amp;ROUNDUP(COUNT(Z2:Z43)*0.3,0)))))-AVERAGE(SMALL(Z2:Z43,ROW(INDIRECT("1:"&amp;ROUNDUP(COUNT(Z2:Z43)*0.3,0))))))/(MAX(Z2:Z43)-MIN(Z2:Z43)),"N/A")</f>
        <v>0.5</v>
      </c>
      <c r="AA48" s="16">
        <f ca="1" t="array" ref="AA48">IFERROR((AVERAGE(LARGE(AA2:AA43,ROW(INDIRECT("1:"&amp;ROUNDUP(COUNT(AA2:AA43)*0.3,0)))))-AVERAGE(SMALL(AA2:AA43,ROW(INDIRECT("1:"&amp;ROUNDUP(COUNT(AA2:AA43)*0.3,0))))))/(MAX(AA2:AA43)-MIN(AA2:AA43)),"N/A")</f>
        <v>0.520833333333333</v>
      </c>
      <c r="AB48" s="16">
        <f ca="1" t="array" ref="AB48">IFERROR((AVERAGE(LARGE(AB2:AB43,ROW(INDIRECT("1:"&amp;ROUNDUP(COUNT(AB2:AB43)*0.3,0)))))-AVERAGE(SMALL(AB2:AB43,ROW(INDIRECT("1:"&amp;ROUNDUP(COUNT(AB2:AB43)*0.3,0))))))/(MAX(AB2:AB43)-MIN(AB2:AB43)),"N/A")</f>
        <v>0.5</v>
      </c>
      <c r="AC48" s="16">
        <f ca="1" t="array" ref="AC48">IFERROR((AVERAGE(LARGE(AC2:AC43,ROW(INDIRECT("1:"&amp;ROUNDUP(COUNT(AC2:AC43)*0.3,0)))))-AVERAGE(SMALL(AC2:AC43,ROW(INDIRECT("1:"&amp;ROUNDUP(COUNT(AC2:AC43)*0.3,0))))))/(MAX(AC2:AC43)-MIN(AC2:AC43)),"N/A")</f>
        <v>0.5</v>
      </c>
      <c r="AD48" s="16">
        <f ca="1" t="array" ref="AD48">IFERROR((AVERAGE(LARGE(AD2:AD43,ROW(INDIRECT("1:"&amp;ROUNDUP(COUNT(AD2:AD43)*0.3,0)))))-AVERAGE(SMALL(AD2:AD43,ROW(INDIRECT("1:"&amp;ROUNDUP(COUNT(AD2:AD43)*0.3,0))))))/(MAX(AD2:AD43)-MIN(AD2:AD43)),"N/A")</f>
        <v>0.535714285714286</v>
      </c>
      <c r="AE48" s="16">
        <f ca="1" t="array" ref="AE48">IFERROR((AVERAGE(LARGE(AE2:AE43,ROW(INDIRECT("1:"&amp;ROUNDUP(COUNT(AE2:AE43)*0.3,0)))))-AVERAGE(SMALL(AE2:AE43,ROW(INDIRECT("1:"&amp;ROUNDUP(COUNT(AE2:AE43)*0.3,0))))))/(MAX(AE2:AE43)-MIN(AE2:AE43)),"N/A")</f>
        <v>0.5</v>
      </c>
      <c r="AF48" s="16">
        <f ca="1" t="array" ref="AF48">IFERROR((AVERAGE(LARGE(AF2:AF43,ROW(INDIRECT("1:"&amp;ROUNDUP(COUNT(AF2:AF43)*0.3,0)))))-AVERAGE(SMALL(AF2:AF43,ROW(INDIRECT("1:"&amp;ROUNDUP(COUNT(AF2:AF43)*0.3,0))))))/(MAX(AF2:AF43)-MIN(AF2:AF43)),"N/A")</f>
        <v>0.533333333333333</v>
      </c>
      <c r="AG48" s="16">
        <f ca="1" t="array" ref="AG48">IFERROR((AVERAGE(LARGE(AG2:AG43,ROW(INDIRECT("1:"&amp;ROUNDUP(COUNT(AG2:AG43)*0.3,0)))))-AVERAGE(SMALL(AG2:AG43,ROW(INDIRECT("1:"&amp;ROUNDUP(COUNT(AG2:AG43)*0.3,0))))))/(MAX(AG2:AG43)-MIN(AG2:AG43)),"N/A")</f>
        <v>0.516129032258065</v>
      </c>
      <c r="AH48" s="16" t="str">
        <f ca="1" t="array" ref="AH48">IFERROR((AVERAGE(LARGE(AH2:AH43,ROW(INDIRECT("1:"&amp;ROUNDUP(COUNT(AH2:AH43)*0.3,0)))))-AVERAGE(SMALL(AH2:AH43,ROW(INDIRECT("1:"&amp;ROUNDUP(COUNT(AH2:AH43)*0.3,0))))))/(MAX(AH2:AH43)-MIN(AH2:AH43)),"N/A")</f>
        <v>N/A</v>
      </c>
      <c r="AI48" s="16" t="str">
        <f ca="1" t="array" ref="AI48">IFERROR((AVERAGE(LARGE(AI2:AI43,ROW(INDIRECT("1:"&amp;ROUNDUP(COUNT(AI2:AI43)*0.3,0)))))-AVERAGE(SMALL(AI2:AI43,ROW(INDIRECT("1:"&amp;ROUNDUP(COUNT(AI2:AI43)*0.3,0))))))/(MAX(AI2:AI43)-MIN(AI2:AI43)),"N/A")</f>
        <v>N/A</v>
      </c>
      <c r="AJ48" s="16" t="str">
        <f ca="1" t="array" ref="AJ48">IFERROR((AVERAGE(LARGE(AJ2:AJ43,ROW(INDIRECT("1:"&amp;ROUNDUP(COUNT(AJ2:AJ43)*0.3,0)))))-AVERAGE(SMALL(AJ2:AJ43,ROW(INDIRECT("1:"&amp;ROUNDUP(COUNT(AJ2:AJ43)*0.3,0))))))/(MAX(AJ2:AJ43)-MIN(AJ2:AJ43)),"N/A")</f>
        <v>N/A</v>
      </c>
      <c r="AK48" s="16" t="str">
        <f ca="1" t="array" ref="AK48">IFERROR((AVERAGE(LARGE(AK2:AK43,ROW(INDIRECT("1:"&amp;ROUNDUP(COUNT(AK2:AK43)*0.3,0)))))-AVERAGE(SMALL(AK2:AK43,ROW(INDIRECT("1:"&amp;ROUNDUP(COUNT(AK2:AK43)*0.3,0))))))/(MAX(AK2:AK43)-MIN(AK2:AK43)),"N/A")</f>
        <v>N/A</v>
      </c>
      <c r="AL48" s="16" t="str">
        <f ca="1" t="array" ref="AL48">IFERROR((AVERAGE(LARGE(AL2:AL43,ROW(INDIRECT("1:"&amp;ROUNDUP(COUNT(AL2:AL43)*0.3,0)))))-AVERAGE(SMALL(AL2:AL43,ROW(INDIRECT("1:"&amp;ROUNDUP(COUNT(AL2:AL43)*0.3,0))))))/(MAX(AL2:AL43)-MIN(AL2:AL43)),"N/A")</f>
        <v>N/A</v>
      </c>
      <c r="AM48" s="16" t="str">
        <f ca="1" t="array" ref="AM48">IFERROR((AVERAGE(LARGE(AM2:AM43,ROW(INDIRECT("1:"&amp;ROUNDUP(COUNT(AM2:AM43)*0.3,0)))))-AVERAGE(SMALL(AM2:AM43,ROW(INDIRECT("1:"&amp;ROUNDUP(COUNT(AM2:AM43)*0.3,0))))))/(MAX(AM2:AM43)-MIN(AM2:AM43)),"N/A")</f>
        <v>N/A</v>
      </c>
      <c r="AN48" s="16" t="str">
        <f ca="1" t="array" ref="AN48">IFERROR((AVERAGE(LARGE(AN2:AN43,ROW(INDIRECT("1:"&amp;ROUNDUP(COUNT(AN2:AN43)*0.3,0)))))-AVERAGE(SMALL(AN2:AN43,ROW(INDIRECT("1:"&amp;ROUNDUP(COUNT(AN2:AN43)*0.3,0))))))/(MAX(AN2:AN43)-MIN(AN2:AN43)),"N/A")</f>
        <v>N/A</v>
      </c>
      <c r="AO48" s="16" t="str">
        <f ca="1" t="array" ref="AO48">IFERROR((AVERAGE(LARGE(AO2:AO43,ROW(INDIRECT("1:"&amp;ROUNDUP(COUNT(AO2:AO43)*0.3,0)))))-AVERAGE(SMALL(AO2:AO43,ROW(INDIRECT("1:"&amp;ROUNDUP(COUNT(AO2:AO43)*0.3,0))))))/(MAX(AO2:AO43)-MIN(AO2:AO43)),"N/A")</f>
        <v>N/A</v>
      </c>
      <c r="AP48" s="16" t="str">
        <f ca="1" t="array" ref="AP48">IFERROR((AVERAGE(LARGE(AP2:AP43,ROW(INDIRECT("1:"&amp;ROUNDUP(COUNT(AP2:AP43)*0.3,0)))))-AVERAGE(SMALL(AP2:AP43,ROW(INDIRECT("1:"&amp;ROUNDUP(COUNT(AP2:AP43)*0.3,0))))))/(MAX(AP2:AP43)-MIN(AP2:AP43)),"N/A")</f>
        <v>N/A</v>
      </c>
      <c r="AQ48" s="16" t="str">
        <f ca="1" t="array" ref="AQ48">IFERROR((AVERAGE(LARGE(AQ2:AQ43,ROW(INDIRECT("1:"&amp;ROUNDUP(COUNT(AQ2:AQ43)*0.3,0)))))-AVERAGE(SMALL(AQ2:AQ43,ROW(INDIRECT("1:"&amp;ROUNDUP(COUNT(AQ2:AQ43)*0.3,0))))))/(MAX(AQ2:AQ43)-MIN(AQ2:AQ43)),"N/A")</f>
        <v>N/A</v>
      </c>
      <c r="AR48" s="16" t="str">
        <f ca="1" t="array" ref="AR48">IFERROR((AVERAGE(LARGE(AR2:AR43,ROW(INDIRECT("1:"&amp;ROUNDUP(COUNT(AR2:AR43)*0.3,0)))))-AVERAGE(SMALL(AR2:AR43,ROW(INDIRECT("1:"&amp;ROUNDUP(COUNT(AR2:AR43)*0.3,0))))))/(MAX(AR2:AR43)-MIN(AR2:AR43)),"N/A")</f>
        <v>N/A</v>
      </c>
      <c r="AS48" s="16" t="str">
        <f ca="1" t="array" ref="AS48">IFERROR((AVERAGE(LARGE(AS2:AS43,ROW(INDIRECT("1:"&amp;ROUNDUP(COUNT(AS2:AS43)*0.3,0)))))-AVERAGE(SMALL(AS2:AS43,ROW(INDIRECT("1:"&amp;ROUNDUP(COUNT(AS2:AS43)*0.3,0))))))/(MAX(AS2:AS43)-MIN(AS2:AS43)),"N/A")</f>
        <v>N/A</v>
      </c>
      <c r="AT48" s="16" t="str">
        <f ca="1" t="array" ref="AT48">IFERROR((AVERAGE(LARGE(AT2:AT43,ROW(INDIRECT("1:"&amp;ROUNDUP(COUNT(AT2:AT43)*0.3,0)))))-AVERAGE(SMALL(AT2:AT43,ROW(INDIRECT("1:"&amp;ROUNDUP(COUNT(AT2:AT43)*0.3,0))))))/(MAX(AT2:AT43)-MIN(AT2:AT43)),"N/A")</f>
        <v>N/A</v>
      </c>
      <c r="AU48" s="16" t="str">
        <f ca="1" t="array" ref="AU48">IFERROR((AVERAGE(LARGE(AU2:AU43,ROW(INDIRECT("1:"&amp;ROUNDUP(COUNT(AU2:AU43)*0.3,0)))))-AVERAGE(SMALL(AU2:AU43,ROW(INDIRECT("1:"&amp;ROUNDUP(COUNT(AU2:AU43)*0.3,0))))))/(MAX(AU2:AU43)-MIN(AU2:AU43)),"N/A")</f>
        <v>N/A</v>
      </c>
    </row>
    <row r="49" ht="23.25" customHeight="1" spans="1:47">
      <c r="A49" s="6">
        <v>46</v>
      </c>
      <c r="B49" s="32" t="s">
        <v>18</v>
      </c>
      <c r="C49" s="28" t="e">
        <f>IF(AND(COUNTA(C2:C43)&gt;0,OR(_xlfn.MODE.SNGL(C2:C43)=0,_xlfn.MODE.SNGL(C2:C43)=MIN(C2:C43),_xlfn.MODE.SNGL(C2:C43)&lt;MAX(C2:C43))),"تعالج","لا تعالج")</f>
        <v>#NAME?</v>
      </c>
      <c r="D49" s="28" t="e">
        <f>IF(AND(COUNTA(D2:D43)&gt;0,OR(_xlfn.MODE.SNGL(D2:D43)=0,_xlfn.MODE.SNGL(D2:D43)=MIN(D2:D43),_xlfn.MODE.SNGL(D2:D43)&lt;MAX(D2:D43))),"تعالج","لا تعالج")</f>
        <v>#NAME?</v>
      </c>
      <c r="E49" s="28" t="e">
        <f>IF(AND(COUNTA(E2:E43)&gt;0,OR(_xlfn.MODE.SNGL(E2:E43)=0,_xlfn.MODE.SNGL(E2:E43)=MIN(E2:E43),_xlfn.MODE.SNGL(E2:E43)&lt;MAX(E2:E43))),"تعالج","لا تعالج")</f>
        <v>#NAME?</v>
      </c>
      <c r="F49" s="28" t="e">
        <f>IF(AND(COUNTA(F2:F43)&gt;0,OR(_xlfn.MODE.SNGL(F2:F43)=0,_xlfn.MODE.SNGL(F2:F43)=MIN(F2:F43),_xlfn.MODE.SNGL(F2:F43)&lt;MAX(F2:F43))),"تعالج","لا تعالج")</f>
        <v>#NAME?</v>
      </c>
      <c r="G49" s="28" t="e">
        <f>IF(AND(COUNTA(G2:G43)&gt;0,OR(_xlfn.MODE.SNGL(G2:G43)=0,_xlfn.MODE.SNGL(G2:G43)=MIN(G2:G43),_xlfn.MODE.SNGL(G2:G43)&lt;MAX(G2:G43))),"تعالج","لا تعالج")</f>
        <v>#NAME?</v>
      </c>
      <c r="H49" s="28" t="e">
        <f>IF(AND(COUNTA(H2:H43)&gt;0,OR(_xlfn.MODE.SNGL(H2:H43)=0,_xlfn.MODE.SNGL(H2:H43)=MIN(H2:H43),_xlfn.MODE.SNGL(H2:H43)&lt;MAX(H2:H43))),"تعالج","لا تعالج")</f>
        <v>#NAME?</v>
      </c>
      <c r="I49" s="28" t="e">
        <f>IF(AND(COUNTA(I2:I43)&gt;0,OR(_xlfn.MODE.SNGL(I2:I43)=0,_xlfn.MODE.SNGL(I2:I43)=MIN(I2:I43),_xlfn.MODE.SNGL(I2:I43)&lt;MAX(I2:I43))),"تعالج","لا تعالج")</f>
        <v>#NAME?</v>
      </c>
      <c r="J49" s="28" t="e">
        <f>IF(AND(COUNTA(J2:J43)&gt;0,OR(_xlfn.MODE.SNGL(J2:J43)=0,_xlfn.MODE.SNGL(J2:J43)=MIN(J2:J43),_xlfn.MODE.SNGL(J2:J43)&lt;MAX(J2:J43))),"تعالج","لا تعالج")</f>
        <v>#NAME?</v>
      </c>
      <c r="K49" s="28" t="e">
        <f>IF(AND(COUNTA(K2:K43)&gt;0,OR(_xlfn.MODE.SNGL(K2:K43)=0,_xlfn.MODE.SNGL(K2:K43)=MIN(K2:K43),_xlfn.MODE.SNGL(K2:K43)&lt;MAX(K2:K43))),"تعالج","لا تعالج")</f>
        <v>#NAME?</v>
      </c>
      <c r="L49" s="28" t="e">
        <f>IF(AND(COUNTA(L2:L43)&gt;0,OR(_xlfn.MODE.SNGL(L2:L43)=0,_xlfn.MODE.SNGL(L2:L43)=MIN(L2:L43),_xlfn.MODE.SNGL(L2:L43)&lt;MAX(L2:L43))),"تعالج","لا تعالج")</f>
        <v>#NAME?</v>
      </c>
      <c r="M49" s="28" t="e">
        <f>IF(AND(COUNTA(M2:M43)&gt;0,OR(_xlfn.MODE.SNGL(M2:M43)=0,_xlfn.MODE.SNGL(M2:M43)=MIN(M2:M43),_xlfn.MODE.SNGL(M2:M43)&lt;MAX(M2:M43))),"تعالج","لا تعالج")</f>
        <v>#NAME?</v>
      </c>
      <c r="N49" s="28" t="e">
        <f>IF(AND(COUNTA(N2:N43)&gt;0,OR(_xlfn.MODE.SNGL(N2:N43)=0,_xlfn.MODE.SNGL(N2:N43)=MIN(N2:N43),_xlfn.MODE.SNGL(N2:N43)&lt;MAX(N2:N43))),"تعالج","لا تعالج")</f>
        <v>#NAME?</v>
      </c>
      <c r="O49" s="28" t="e">
        <f>IF(AND(COUNTA(O2:O43)&gt;0,OR(_xlfn.MODE.SNGL(O2:O43)=0,_xlfn.MODE.SNGL(O2:O43)=MIN(O2:O43),_xlfn.MODE.SNGL(O2:O43)&lt;MAX(O2:O43))),"تعالج","لا تعالج")</f>
        <v>#NAME?</v>
      </c>
      <c r="P49" s="28" t="e">
        <f>IF(AND(COUNTA(P2:P43)&gt;0,OR(_xlfn.MODE.SNGL(P2:P43)=0,_xlfn.MODE.SNGL(P2:P43)=MIN(P2:P43),_xlfn.MODE.SNGL(P2:P43)&lt;MAX(P2:P43))),"تعالج","لا تعالج")</f>
        <v>#NAME?</v>
      </c>
      <c r="Q49" s="28" t="e">
        <f>IF(AND(COUNTA(Q2:Q43)&gt;0,OR(_xlfn.MODE.SNGL(Q2:Q43)=0,_xlfn.MODE.SNGL(Q2:Q43)=MIN(Q2:Q43),_xlfn.MODE.SNGL(Q2:Q43)&lt;MAX(Q2:Q43))),"تعالج","لا تعالج")</f>
        <v>#NAME?</v>
      </c>
      <c r="R49" s="28" t="e">
        <f>IF(AND(COUNTA(R2:R43)&gt;0,OR(_xlfn.MODE.SNGL(R2:R43)=0,_xlfn.MODE.SNGL(R2:R43)=MIN(R2:R43),_xlfn.MODE.SNGL(R2:R43)&lt;MAX(R2:R43))),"تعالج","لا تعالج")</f>
        <v>#NAME?</v>
      </c>
      <c r="S49" s="28" t="e">
        <f>IF(AND(COUNTA(S2:S43)&gt;0,OR(_xlfn.MODE.SNGL(S2:S43)=0,_xlfn.MODE.SNGL(S2:S43)=MIN(S2:S43),_xlfn.MODE.SNGL(S2:S43)&lt;MAX(S2:S43))),"تعالج","لا تعالج")</f>
        <v>#NAME?</v>
      </c>
      <c r="T49" s="28" t="e">
        <f>IF(AND(COUNTA(T2:T43)&gt;0,OR(_xlfn.MODE.SNGL(T2:T43)=0,_xlfn.MODE.SNGL(T2:T43)=MIN(T2:T43),_xlfn.MODE.SNGL(T2:T43)&lt;MAX(T2:T43))),"تعالج","لا تعالج")</f>
        <v>#NAME?</v>
      </c>
      <c r="U49" s="28" t="e">
        <f>IF(AND(COUNTA(U2:U43)&gt;0,OR(_xlfn.MODE.SNGL(U2:U43)=0,_xlfn.MODE.SNGL(U2:U43)=MIN(U2:U43),_xlfn.MODE.SNGL(U2:U43)&lt;MAX(U2:U43))),"تعالج","لا تعالج")</f>
        <v>#NAME?</v>
      </c>
      <c r="V49" s="28" t="e">
        <f>IF(AND(COUNTA(V2:V43)&gt;0,OR(_xlfn.MODE.SNGL(V2:V43)=0,_xlfn.MODE.SNGL(V2:V43)=MIN(V2:V43),_xlfn.MODE.SNGL(V2:V43)&lt;MAX(V2:V43))),"تعالج","لا تعالج")</f>
        <v>#NAME?</v>
      </c>
      <c r="W49" s="28" t="e">
        <f>IF(AND(COUNTA(W2:W43)&gt;0,OR(_xlfn.MODE.SNGL(W2:W43)=0,_xlfn.MODE.SNGL(W2:W43)=MIN(W2:W43),_xlfn.MODE.SNGL(W2:W43)&lt;MAX(W2:W43))),"تعالج","لا تعالج")</f>
        <v>#NAME?</v>
      </c>
      <c r="X49" s="28" t="e">
        <f>IF(AND(COUNTA(X2:X43)&gt;0,OR(_xlfn.MODE.SNGL(X2:X43)=0,_xlfn.MODE.SNGL(X2:X43)=MIN(X2:X43),_xlfn.MODE.SNGL(X2:X43)&lt;MAX(X2:X43))),"تعالج","لا تعالج")</f>
        <v>#NAME?</v>
      </c>
      <c r="Y49" s="28" t="e">
        <f>IF(AND(COUNTA(Y2:Y43)&gt;0,OR(_xlfn.MODE.SNGL(Y2:Y43)=0,_xlfn.MODE.SNGL(Y2:Y43)=MIN(Y2:Y43),_xlfn.MODE.SNGL(Y2:Y43)&lt;MAX(Y2:Y43))),"تعالج","لا تعالج")</f>
        <v>#NAME?</v>
      </c>
      <c r="Z49" s="28" t="e">
        <f>IF(AND(COUNTA(Z2:Z43)&gt;0,OR(_xlfn.MODE.SNGL(Z2:Z43)=0,_xlfn.MODE.SNGL(Z2:Z43)=MIN(Z2:Z43),_xlfn.MODE.SNGL(Z2:Z43)&lt;MAX(Z2:Z43))),"تعالج","لا تعالج")</f>
        <v>#NAME?</v>
      </c>
      <c r="AA49" s="28" t="e">
        <f>IF(AND(COUNTA(AA2:AA43)&gt;0,OR(_xlfn.MODE.SNGL(AA2:AA43)=0,_xlfn.MODE.SNGL(AA2:AA43)=MIN(AA2:AA43),_xlfn.MODE.SNGL(AA2:AA43)&lt;MAX(AA2:AA43))),"تعالج","لا تعالج")</f>
        <v>#NAME?</v>
      </c>
      <c r="AB49" s="28" t="e">
        <f>IF(AND(COUNTA(AB2:AB43)&gt;0,OR(_xlfn.MODE.SNGL(AB2:AB43)=0,_xlfn.MODE.SNGL(AB2:AB43)=MIN(AB2:AB43),_xlfn.MODE.SNGL(AB2:AB43)&lt;MAX(AB2:AB43))),"تعالج","لا تعالج")</f>
        <v>#NAME?</v>
      </c>
      <c r="AC49" s="28" t="e">
        <f>IF(AND(COUNTA(AC2:AC43)&gt;0,OR(_xlfn.MODE.SNGL(AC2:AC43)=0,_xlfn.MODE.SNGL(AC2:AC43)=MIN(AC2:AC43),_xlfn.MODE.SNGL(AC2:AC43)&lt;MAX(AC2:AC43))),"تعالج","لا تعالج")</f>
        <v>#NAME?</v>
      </c>
      <c r="AD49" s="28" t="e">
        <f>IF(AND(COUNTA(AD2:AD43)&gt;0,OR(_xlfn.MODE.SNGL(AD2:AD43)=0,_xlfn.MODE.SNGL(AD2:AD43)=MIN(AD2:AD43),_xlfn.MODE.SNGL(AD2:AD43)&lt;MAX(AD2:AD43))),"تعالج","لا تعالج")</f>
        <v>#NAME?</v>
      </c>
      <c r="AE49" s="28" t="e">
        <f>IF(AND(COUNTA(AE2:AE43)&gt;0,OR(_xlfn.MODE.SNGL(AE2:AE43)=0,_xlfn.MODE.SNGL(AE2:AE43)=MIN(AE2:AE43),_xlfn.MODE.SNGL(AE2:AE43)&lt;MAX(AE2:AE43))),"تعالج","لا تعالج")</f>
        <v>#NAME?</v>
      </c>
      <c r="AF49" s="28" t="e">
        <f>IF(AND(COUNTA(AF2:AF43)&gt;0,OR(_xlfn.MODE.SNGL(AF2:AF43)=0,_xlfn.MODE.SNGL(AF2:AF43)=MIN(AF2:AF43),_xlfn.MODE.SNGL(AF2:AF43)&lt;MAX(AF2:AF43))),"تعالج","لا تعالج")</f>
        <v>#NAME?</v>
      </c>
      <c r="AG49" s="28" t="e">
        <f>IF(AND(COUNTA(AG2:AG43)&gt;0,OR(_xlfn.MODE.SNGL(AG2:AG43)=0,_xlfn.MODE.SNGL(AG2:AG43)=MIN(AG2:AG43),_xlfn.MODE.SNGL(AG2:AG43)&lt;MAX(AG2:AG43))),"تعالج","لا تعالج")</f>
        <v>#NAME?</v>
      </c>
      <c r="AH49" s="28" t="e">
        <f>IF(AND(COUNTA(AH2:AH43)&gt;0,OR(_xlfn.MODE.SNGL(AH2:AH43)=0,_xlfn.MODE.SNGL(AH2:AH43)=MIN(AH2:AH43),_xlfn.MODE.SNGL(AH2:AH43)&lt;MAX(AH2:AH43))),"تعالج","لا تعالج")</f>
        <v>#NAME?</v>
      </c>
      <c r="AI49" s="28" t="e">
        <f>IF(AND(COUNTA(AI2:AI43)&gt;0,OR(_xlfn.MODE.SNGL(AI2:AI43)=0,_xlfn.MODE.SNGL(AI2:AI43)=MIN(AI2:AI43),_xlfn.MODE.SNGL(AI2:AI43)&lt;MAX(AI2:AI43))),"تعالج","لا تعالج")</f>
        <v>#NAME?</v>
      </c>
      <c r="AJ49" s="28" t="e">
        <f>IF(AND(COUNTA(AJ2:AJ43)&gt;0,OR(_xlfn.MODE.SNGL(AJ2:AJ43)=0,_xlfn.MODE.SNGL(AJ2:AJ43)=MIN(AJ2:AJ43),_xlfn.MODE.SNGL(AJ2:AJ43)&lt;MAX(AJ2:AJ43))),"تعالج","لا تعالج")</f>
        <v>#NAME?</v>
      </c>
      <c r="AK49" s="28" t="e">
        <f>IF(AND(COUNTA(AK2:AK43)&gt;0,OR(_xlfn.MODE.SNGL(AK2:AK43)=0,_xlfn.MODE.SNGL(AK2:AK43)=MIN(AK2:AK43),_xlfn.MODE.SNGL(AK2:AK43)&lt;MAX(AK2:AK43))),"تعالج","لا تعالج")</f>
        <v>#NAME?</v>
      </c>
      <c r="AL49" s="28" t="e">
        <f>IF(AND(COUNTA(AL2:AL43)&gt;0,OR(_xlfn.MODE.SNGL(AL2:AL43)=0,_xlfn.MODE.SNGL(AL2:AL43)=MIN(AL2:AL43),_xlfn.MODE.SNGL(AL2:AL43)&lt;MAX(AL2:AL43))),"تعالج","لا تعالج")</f>
        <v>#NAME?</v>
      </c>
      <c r="AM49" s="28" t="e">
        <f>IF(AND(COUNTA(AM2:AM43)&gt;0,OR(_xlfn.MODE.SNGL(AM2:AM43)=0,_xlfn.MODE.SNGL(AM2:AM43)=MIN(AM2:AM43),_xlfn.MODE.SNGL(AM2:AM43)&lt;MAX(AM2:AM43))),"تعالج","لا تعالج")</f>
        <v>#NAME?</v>
      </c>
      <c r="AN49" s="28" t="e">
        <f>IF(AND(COUNTA(AN2:AN43)&gt;0,OR(_xlfn.MODE.SNGL(AN2:AN43)=0,_xlfn.MODE.SNGL(AN2:AN43)=MIN(AN2:AN43),_xlfn.MODE.SNGL(AN2:AN43)&lt;MAX(AN2:AN43))),"تعالج","لا تعالج")</f>
        <v>#NAME?</v>
      </c>
      <c r="AO49" s="28" t="e">
        <f>IF(AND(COUNTA(AO2:AO43)&gt;0,OR(_xlfn.MODE.SNGL(AO2:AO43)=0,_xlfn.MODE.SNGL(AO2:AO43)=MIN(AO2:AO43),_xlfn.MODE.SNGL(AO2:AO43)&lt;MAX(AO2:AO43))),"تعالج","لا تعالج")</f>
        <v>#NAME?</v>
      </c>
      <c r="AP49" s="28" t="e">
        <f>IF(AND(COUNTA(AP2:AP43)&gt;0,OR(_xlfn.MODE.SNGL(AP2:AP43)=0,_xlfn.MODE.SNGL(AP2:AP43)=MIN(AP2:AP43),_xlfn.MODE.SNGL(AP2:AP43)&lt;MAX(AP2:AP43))),"تعالج","لا تعالج")</f>
        <v>#NAME?</v>
      </c>
      <c r="AQ49" s="28" t="e">
        <f>IF(AND(COUNTA(AQ2:AQ43)&gt;0,OR(_xlfn.MODE.SNGL(AQ2:AQ43)=0,_xlfn.MODE.SNGL(AQ2:AQ43)=MIN(AQ2:AQ43),_xlfn.MODE.SNGL(AQ2:AQ43)&lt;MAX(AQ2:AQ43))),"تعالج","لا تعالج")</f>
        <v>#NAME?</v>
      </c>
      <c r="AR49" s="28" t="e">
        <f>IF(AND(COUNTA(AR2:AR43)&gt;0,OR(_xlfn.MODE.SNGL(AR2:AR43)=0,_xlfn.MODE.SNGL(AR2:AR43)=MIN(AR2:AR43),_xlfn.MODE.SNGL(AR2:AR43)&lt;MAX(AR2:AR43))),"تعالج","لا تعالج")</f>
        <v>#NAME?</v>
      </c>
      <c r="AS49" s="28" t="e">
        <f>IF(AND(COUNTA(AS2:AS43)&gt;0,OR(_xlfn.MODE.SNGL(AS2:AS43)=0,_xlfn.MODE.SNGL(AS2:AS43)=MIN(AS2:AS43),_xlfn.MODE.SNGL(AS2:AS43)&lt;MAX(AS2:AS43))),"تعالج","لا تعالج")</f>
        <v>#NAME?</v>
      </c>
      <c r="AT49" s="28" t="e">
        <f>IF(AND(COUNTA(AT2:AT43)&gt;0,OR(_xlfn.MODE.SNGL(AT2:AT43)=0,_xlfn.MODE.SNGL(AT2:AT43)=MIN(AT2:AT43),_xlfn.MODE.SNGL(AT2:AT43)&lt;MAX(AT2:AT43))),"تعالج","لا تعالج")</f>
        <v>#NAME?</v>
      </c>
      <c r="AU49" s="28" t="e">
        <f>IF(AND(COUNTA(AU2:AU43)&gt;0,OR(_xlfn.MODE.SNGL(AU2:AU43)=0,_xlfn.MODE.SNGL(AU2:AU43)=MIN(AU2:AU43),_xlfn.MODE.SNGL(AU2:AU43)&lt;MAX(AU2:AU43))),"تعالج","لا تعالج")</f>
        <v>#NAME?</v>
      </c>
    </row>
  </sheetData>
  <mergeCells count="49">
    <mergeCell ref="C1:Q1"/>
    <mergeCell ref="A44:B4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9"/>
  <sheetViews>
    <sheetView zoomScale="60" zoomScaleNormal="60" workbookViewId="0">
      <selection activeCell="AG9" sqref="AG9"/>
    </sheetView>
  </sheetViews>
  <sheetFormatPr defaultColWidth="9" defaultRowHeight="15"/>
  <cols>
    <col min="1" max="1" width="9" style="1"/>
    <col min="2" max="2" width="39.3714285714286" style="1" customWidth="1"/>
    <col min="3" max="33" width="9" style="1"/>
  </cols>
  <sheetData>
    <row r="1" ht="23.25" customHeight="1" spans="2:33">
      <c r="B1" s="2"/>
      <c r="C1" s="3" t="s">
        <v>10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14.25" customHeight="1" spans="1:33">
      <c r="A2" s="4" t="s">
        <v>11</v>
      </c>
      <c r="B2" s="5" t="s">
        <v>12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6">
        <v>12</v>
      </c>
      <c r="O2" s="6">
        <v>13</v>
      </c>
      <c r="P2" s="6">
        <v>14</v>
      </c>
      <c r="Q2" s="6">
        <v>15</v>
      </c>
      <c r="R2" s="6">
        <v>16</v>
      </c>
      <c r="S2" s="6">
        <v>17</v>
      </c>
      <c r="T2" s="6">
        <v>18</v>
      </c>
      <c r="U2" s="6">
        <v>19</v>
      </c>
      <c r="V2" s="6">
        <v>20</v>
      </c>
      <c r="W2" s="6">
        <v>21</v>
      </c>
      <c r="X2" s="6">
        <v>22</v>
      </c>
      <c r="Y2" s="6">
        <v>23</v>
      </c>
      <c r="Z2" s="6">
        <v>24</v>
      </c>
      <c r="AA2" s="6">
        <v>25</v>
      </c>
      <c r="AB2" s="6">
        <v>26</v>
      </c>
      <c r="AC2" s="6">
        <v>27</v>
      </c>
      <c r="AD2" s="6">
        <v>28</v>
      </c>
      <c r="AE2" s="6">
        <v>29</v>
      </c>
      <c r="AF2" s="6">
        <v>30</v>
      </c>
      <c r="AG2" s="6">
        <v>31</v>
      </c>
    </row>
    <row r="3" ht="23.25" customHeight="1" spans="1:3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23.25" customHeight="1" spans="1:33">
      <c r="A4" s="6">
        <v>1</v>
      </c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21"/>
    </row>
    <row r="5" ht="23.25" customHeight="1" spans="1:33">
      <c r="A5" s="6">
        <v>2</v>
      </c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21"/>
    </row>
    <row r="6" ht="23.25" customHeight="1" spans="1:33">
      <c r="A6" s="6">
        <v>3</v>
      </c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21"/>
    </row>
    <row r="7" ht="23.25" customHeight="1" spans="1:33">
      <c r="A7" s="6">
        <v>4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21"/>
    </row>
    <row r="8" ht="23.25" customHeight="1" spans="1:33">
      <c r="A8" s="6">
        <v>5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21"/>
    </row>
    <row r="9" ht="23.25" customHeight="1" spans="1:33">
      <c r="A9" s="6">
        <v>6</v>
      </c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21"/>
    </row>
    <row r="10" ht="23.25" customHeight="1" spans="1:33">
      <c r="A10" s="6">
        <v>7</v>
      </c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21"/>
    </row>
    <row r="11" ht="23.25" customHeight="1" spans="1:33">
      <c r="A11" s="6">
        <v>8</v>
      </c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21"/>
    </row>
    <row r="12" ht="23.25" customHeight="1" spans="1:33">
      <c r="A12" s="6">
        <v>9</v>
      </c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21"/>
    </row>
    <row r="13" ht="23.25" customHeight="1" spans="1:33">
      <c r="A13" s="6">
        <v>10</v>
      </c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21"/>
    </row>
    <row r="14" ht="23.25" customHeight="1" spans="1:33">
      <c r="A14" s="6">
        <v>11</v>
      </c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9"/>
    </row>
    <row r="15" ht="23.25" customHeight="1" spans="1:33">
      <c r="A15" s="6">
        <v>12</v>
      </c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/>
    </row>
    <row r="16" ht="23.25" customHeight="1" spans="1:33">
      <c r="A16" s="6">
        <v>13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9"/>
    </row>
    <row r="17" ht="23.25" customHeight="1" spans="1:33">
      <c r="A17" s="6">
        <v>14</v>
      </c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/>
    </row>
    <row r="18" ht="23.25" customHeight="1" spans="1:33">
      <c r="A18" s="6">
        <v>15</v>
      </c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9"/>
    </row>
    <row r="19" ht="23.25" customHeight="1" spans="1:33">
      <c r="A19" s="6">
        <v>16</v>
      </c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/>
    </row>
    <row r="20" ht="23.25" customHeight="1" spans="1:33">
      <c r="A20" s="6">
        <v>17</v>
      </c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9"/>
    </row>
    <row r="21" ht="23.25" customHeight="1" spans="1:33">
      <c r="A21" s="6">
        <v>18</v>
      </c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/>
    </row>
    <row r="22" ht="23.25" customHeight="1" spans="1:33">
      <c r="A22" s="6">
        <v>19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9"/>
    </row>
    <row r="23" ht="23.25" customHeight="1" spans="1:33">
      <c r="A23" s="6">
        <v>20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/>
    </row>
    <row r="24" ht="23.25" customHeight="1" spans="1:33">
      <c r="A24" s="6">
        <v>21</v>
      </c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9"/>
    </row>
    <row r="25" ht="23.25" customHeight="1" spans="1:33">
      <c r="A25" s="6">
        <v>22</v>
      </c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/>
    </row>
    <row r="26" ht="23.25" customHeight="1" spans="1:33">
      <c r="A26" s="6">
        <v>23</v>
      </c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9"/>
    </row>
    <row r="27" ht="23.25" customHeight="1" spans="1:33">
      <c r="A27" s="6">
        <v>24</v>
      </c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/>
    </row>
    <row r="28" ht="23.25" customHeight="1" spans="1:33">
      <c r="A28" s="6">
        <v>25</v>
      </c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9"/>
    </row>
    <row r="29" ht="23.25" customHeight="1" spans="1:33">
      <c r="A29" s="6">
        <v>26</v>
      </c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/>
    </row>
    <row r="30" ht="23.25" customHeight="1" spans="1:33">
      <c r="A30" s="6">
        <v>27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9"/>
    </row>
    <row r="31" ht="23.25" customHeight="1" spans="1:33">
      <c r="A31" s="6">
        <v>28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/>
    </row>
    <row r="32" ht="23.25" customHeight="1" spans="1:33">
      <c r="A32" s="6">
        <v>29</v>
      </c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9"/>
    </row>
    <row r="33" ht="23.25" customHeight="1" spans="1:33">
      <c r="A33" s="6">
        <v>30</v>
      </c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/>
    </row>
    <row r="34" ht="23.25" customHeight="1" spans="1:33">
      <c r="A34" s="6">
        <v>31</v>
      </c>
      <c r="B34" s="10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9"/>
    </row>
    <row r="35" ht="23.25" customHeight="1" spans="1:33">
      <c r="A35" s="6">
        <v>32</v>
      </c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/>
    </row>
    <row r="36" ht="23.25" customHeight="1" spans="1:33">
      <c r="A36" s="6">
        <v>33</v>
      </c>
      <c r="B36" s="10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9"/>
    </row>
    <row r="37" ht="23.25" customHeight="1" spans="1:33">
      <c r="A37" s="6">
        <v>34</v>
      </c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/>
    </row>
    <row r="38" ht="23.25" customHeight="1" spans="1:33">
      <c r="A38" s="6">
        <v>35</v>
      </c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9"/>
    </row>
    <row r="39" ht="23.25" customHeight="1" spans="1:33">
      <c r="A39" s="6">
        <v>36</v>
      </c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/>
    </row>
    <row r="40" ht="23.25" customHeight="1" spans="1:33">
      <c r="A40" s="6">
        <v>37</v>
      </c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9"/>
    </row>
    <row r="41" ht="23.25" customHeight="1" spans="1:33">
      <c r="A41" s="6">
        <v>38</v>
      </c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/>
    </row>
    <row r="42" ht="23.25" customHeight="1" spans="1:33">
      <c r="A42" s="6">
        <v>39</v>
      </c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9"/>
    </row>
    <row r="43" ht="23.25" customHeight="1" spans="1:33">
      <c r="A43" s="6">
        <v>40</v>
      </c>
      <c r="B43" s="10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/>
    </row>
    <row r="44" ht="23.25" customHeight="1" spans="1:33">
      <c r="A44" s="12" t="s">
        <v>13</v>
      </c>
      <c r="B44" s="13"/>
      <c r="C44" s="14">
        <f t="shared" ref="C44:AF44" si="0">SUM(C4:C43)</f>
        <v>0</v>
      </c>
      <c r="D44" s="14">
        <f t="shared" si="0"/>
        <v>0</v>
      </c>
      <c r="E44" s="14">
        <f t="shared" si="0"/>
        <v>0</v>
      </c>
      <c r="F44" s="14">
        <f t="shared" si="0"/>
        <v>0</v>
      </c>
      <c r="G44" s="14">
        <f t="shared" si="0"/>
        <v>0</v>
      </c>
      <c r="H44" s="14">
        <f t="shared" si="0"/>
        <v>0</v>
      </c>
      <c r="I44" s="14">
        <f t="shared" si="0"/>
        <v>0</v>
      </c>
      <c r="J44" s="14">
        <f t="shared" si="0"/>
        <v>0</v>
      </c>
      <c r="K44" s="14">
        <f t="shared" si="0"/>
        <v>0</v>
      </c>
      <c r="L44" s="14">
        <f t="shared" si="0"/>
        <v>0</v>
      </c>
      <c r="M44" s="14">
        <f t="shared" si="0"/>
        <v>0</v>
      </c>
      <c r="N44" s="14">
        <f t="shared" si="0"/>
        <v>0</v>
      </c>
      <c r="O44" s="14">
        <f t="shared" si="0"/>
        <v>0</v>
      </c>
      <c r="P44" s="14">
        <f t="shared" si="0"/>
        <v>0</v>
      </c>
      <c r="Q44" s="14">
        <f t="shared" si="0"/>
        <v>0</v>
      </c>
      <c r="R44" s="14">
        <f t="shared" si="0"/>
        <v>0</v>
      </c>
      <c r="S44" s="14">
        <f t="shared" si="0"/>
        <v>0</v>
      </c>
      <c r="T44" s="14">
        <f t="shared" si="0"/>
        <v>0</v>
      </c>
      <c r="U44" s="14">
        <f t="shared" si="0"/>
        <v>0</v>
      </c>
      <c r="V44" s="14">
        <f t="shared" si="0"/>
        <v>0</v>
      </c>
      <c r="W44" s="14">
        <f t="shared" si="0"/>
        <v>0</v>
      </c>
      <c r="X44" s="14">
        <f t="shared" si="0"/>
        <v>0</v>
      </c>
      <c r="Y44" s="14">
        <f t="shared" si="0"/>
        <v>0</v>
      </c>
      <c r="Z44" s="14">
        <f t="shared" si="0"/>
        <v>0</v>
      </c>
      <c r="AA44" s="14">
        <f t="shared" si="0"/>
        <v>0</v>
      </c>
      <c r="AB44" s="14">
        <f t="shared" si="0"/>
        <v>0</v>
      </c>
      <c r="AC44" s="14">
        <f t="shared" si="0"/>
        <v>0</v>
      </c>
      <c r="AD44" s="14">
        <f t="shared" si="0"/>
        <v>0</v>
      </c>
      <c r="AE44" s="14">
        <f t="shared" si="0"/>
        <v>0</v>
      </c>
      <c r="AF44" s="14">
        <f t="shared" si="0"/>
        <v>0</v>
      </c>
      <c r="AG44" s="9"/>
    </row>
    <row r="45" ht="23.25" customHeight="1" spans="1:33">
      <c r="A45" s="15" t="s">
        <v>14</v>
      </c>
      <c r="B45" s="13"/>
      <c r="C45" s="16" t="e">
        <f t="shared" ref="C45:AF45" si="1">AVERAGE(C4:C43)</f>
        <v>#DIV/0!</v>
      </c>
      <c r="D45" s="16" t="e">
        <f t="shared" si="1"/>
        <v>#DIV/0!</v>
      </c>
      <c r="E45" s="16" t="e">
        <f t="shared" si="1"/>
        <v>#DIV/0!</v>
      </c>
      <c r="F45" s="16" t="e">
        <f t="shared" si="1"/>
        <v>#DIV/0!</v>
      </c>
      <c r="G45" s="16" t="e">
        <f t="shared" si="1"/>
        <v>#DIV/0!</v>
      </c>
      <c r="H45" s="16" t="e">
        <f t="shared" si="1"/>
        <v>#DIV/0!</v>
      </c>
      <c r="I45" s="16" t="e">
        <f t="shared" si="1"/>
        <v>#DIV/0!</v>
      </c>
      <c r="J45" s="16" t="e">
        <f t="shared" si="1"/>
        <v>#DIV/0!</v>
      </c>
      <c r="K45" s="16" t="e">
        <f t="shared" si="1"/>
        <v>#DIV/0!</v>
      </c>
      <c r="L45" s="16" t="e">
        <f t="shared" si="1"/>
        <v>#DIV/0!</v>
      </c>
      <c r="M45" s="16" t="e">
        <f t="shared" si="1"/>
        <v>#DIV/0!</v>
      </c>
      <c r="N45" s="16" t="e">
        <f t="shared" si="1"/>
        <v>#DIV/0!</v>
      </c>
      <c r="O45" s="16" t="e">
        <f t="shared" si="1"/>
        <v>#DIV/0!</v>
      </c>
      <c r="P45" s="16" t="e">
        <f t="shared" si="1"/>
        <v>#DIV/0!</v>
      </c>
      <c r="Q45" s="16" t="e">
        <f t="shared" si="1"/>
        <v>#DIV/0!</v>
      </c>
      <c r="R45" s="16" t="e">
        <f t="shared" si="1"/>
        <v>#DIV/0!</v>
      </c>
      <c r="S45" s="16" t="e">
        <f t="shared" si="1"/>
        <v>#DIV/0!</v>
      </c>
      <c r="T45" s="16" t="e">
        <f t="shared" si="1"/>
        <v>#DIV/0!</v>
      </c>
      <c r="U45" s="16" t="e">
        <f t="shared" si="1"/>
        <v>#DIV/0!</v>
      </c>
      <c r="V45" s="16" t="e">
        <f t="shared" si="1"/>
        <v>#DIV/0!</v>
      </c>
      <c r="W45" s="16" t="e">
        <f t="shared" si="1"/>
        <v>#DIV/0!</v>
      </c>
      <c r="X45" s="16" t="e">
        <f t="shared" si="1"/>
        <v>#DIV/0!</v>
      </c>
      <c r="Y45" s="16" t="e">
        <f t="shared" si="1"/>
        <v>#DIV/0!</v>
      </c>
      <c r="Z45" s="16" t="e">
        <f t="shared" si="1"/>
        <v>#DIV/0!</v>
      </c>
      <c r="AA45" s="16" t="e">
        <f t="shared" si="1"/>
        <v>#DIV/0!</v>
      </c>
      <c r="AB45" s="16" t="e">
        <f t="shared" si="1"/>
        <v>#DIV/0!</v>
      </c>
      <c r="AC45" s="16" t="e">
        <f t="shared" si="1"/>
        <v>#DIV/0!</v>
      </c>
      <c r="AD45" s="16" t="e">
        <f t="shared" si="1"/>
        <v>#DIV/0!</v>
      </c>
      <c r="AE45" s="16" t="e">
        <f t="shared" si="1"/>
        <v>#DIV/0!</v>
      </c>
      <c r="AF45" s="16" t="e">
        <f t="shared" si="1"/>
        <v>#DIV/0!</v>
      </c>
      <c r="AG45" s="9"/>
    </row>
    <row r="46" ht="23.25" customHeight="1" spans="1:33">
      <c r="A46" s="17" t="s">
        <v>15</v>
      </c>
      <c r="B46" s="13"/>
      <c r="C46" s="16" t="e">
        <f>_xlfn.MODE.SNGL(C4:C43)</f>
        <v>#NAME?</v>
      </c>
      <c r="D46" s="16" t="e">
        <f>_xlfn.MODE.SNGL(D4:D43)</f>
        <v>#NAME?</v>
      </c>
      <c r="E46" s="16" t="e">
        <f>_xlfn.MODE.SNGL(E4:E43)</f>
        <v>#NAME?</v>
      </c>
      <c r="F46" s="16" t="e">
        <f>_xlfn.MODE.SNGL(F4:F43)</f>
        <v>#NAME?</v>
      </c>
      <c r="G46" s="16" t="e">
        <f>_xlfn.MODE.SNGL(G4:G43)</f>
        <v>#NAME?</v>
      </c>
      <c r="H46" s="16" t="e">
        <f>_xlfn.MODE.SNGL(H4:H43)</f>
        <v>#NAME?</v>
      </c>
      <c r="I46" s="16" t="e">
        <f>_xlfn.MODE.SNGL(I4:I43)</f>
        <v>#NAME?</v>
      </c>
      <c r="J46" s="16" t="e">
        <f>_xlfn.MODE.SNGL(J4:J43)</f>
        <v>#NAME?</v>
      </c>
      <c r="K46" s="16" t="e">
        <f>_xlfn.MODE.SNGL(K4:K43)</f>
        <v>#NAME?</v>
      </c>
      <c r="L46" s="16" t="e">
        <f>_xlfn.MODE.SNGL(L4:L43)</f>
        <v>#NAME?</v>
      </c>
      <c r="M46" s="16" t="e">
        <f>_xlfn.MODE.SNGL(M4:M43)</f>
        <v>#NAME?</v>
      </c>
      <c r="N46" s="16" t="e">
        <f>_xlfn.MODE.SNGL(N4:N43)</f>
        <v>#NAME?</v>
      </c>
      <c r="O46" s="16" t="e">
        <f>_xlfn.MODE.SNGL(O4:O43)</f>
        <v>#NAME?</v>
      </c>
      <c r="P46" s="16" t="e">
        <f>_xlfn.MODE.SNGL(P4:P43)</f>
        <v>#NAME?</v>
      </c>
      <c r="Q46" s="16" t="e">
        <f>_xlfn.MODE.SNGL(Q4:Q43)</f>
        <v>#NAME?</v>
      </c>
      <c r="R46" s="16" t="e">
        <f>_xlfn.MODE.SNGL(R4:R43)</f>
        <v>#NAME?</v>
      </c>
      <c r="S46" s="16" t="e">
        <f>_xlfn.MODE.SNGL(S4:S43)</f>
        <v>#NAME?</v>
      </c>
      <c r="T46" s="16" t="e">
        <f>_xlfn.MODE.SNGL(T4:T43)</f>
        <v>#NAME?</v>
      </c>
      <c r="U46" s="16" t="e">
        <f>_xlfn.MODE.SNGL(U4:U43)</f>
        <v>#NAME?</v>
      </c>
      <c r="V46" s="16" t="e">
        <f>_xlfn.MODE.SNGL(V4:V43)</f>
        <v>#NAME?</v>
      </c>
      <c r="W46" s="16" t="e">
        <f>_xlfn.MODE.SNGL(W4:W43)</f>
        <v>#NAME?</v>
      </c>
      <c r="X46" s="16" t="e">
        <f>_xlfn.MODE.SNGL(X4:X43)</f>
        <v>#NAME?</v>
      </c>
      <c r="Y46" s="16" t="e">
        <f>_xlfn.MODE.SNGL(Y4:Y43)</f>
        <v>#NAME?</v>
      </c>
      <c r="Z46" s="16" t="e">
        <f>_xlfn.MODE.SNGL(Z4:Z43)</f>
        <v>#NAME?</v>
      </c>
      <c r="AA46" s="16" t="e">
        <f>_xlfn.MODE.SNGL(AA4:AA43)</f>
        <v>#NAME?</v>
      </c>
      <c r="AB46" s="16" t="e">
        <f>_xlfn.MODE.SNGL(AB4:AB43)</f>
        <v>#NAME?</v>
      </c>
      <c r="AC46" s="16" t="e">
        <f>_xlfn.MODE.SNGL(AC4:AC43)</f>
        <v>#NAME?</v>
      </c>
      <c r="AD46" s="16" t="e">
        <f>_xlfn.MODE.SNGL(AD4:AD43)</f>
        <v>#NAME?</v>
      </c>
      <c r="AE46" s="16" t="e">
        <f>_xlfn.MODE.SNGL(AE4:AE43)</f>
        <v>#NAME?</v>
      </c>
      <c r="AF46" s="16" t="e">
        <f>_xlfn.MODE.SNGL(AF4:AF43)</f>
        <v>#NAME?</v>
      </c>
      <c r="AG46" s="9"/>
    </row>
    <row r="47" ht="23.25" customHeight="1" spans="1:33">
      <c r="A47" s="18" t="s">
        <v>16</v>
      </c>
      <c r="B47" s="13"/>
      <c r="C47" s="16">
        <f t="shared" ref="C47:AF47" si="2">COUNTIF(C2:C43,"&gt;=AVERAGE(C2:C43)")/COUNT(C2:C43)</f>
        <v>0</v>
      </c>
      <c r="D47" s="16">
        <f t="shared" si="2"/>
        <v>0</v>
      </c>
      <c r="E47" s="16">
        <f t="shared" si="2"/>
        <v>0</v>
      </c>
      <c r="F47" s="16">
        <f t="shared" si="2"/>
        <v>0</v>
      </c>
      <c r="G47" s="16">
        <f t="shared" si="2"/>
        <v>0</v>
      </c>
      <c r="H47" s="16">
        <f t="shared" si="2"/>
        <v>0</v>
      </c>
      <c r="I47" s="16">
        <f t="shared" si="2"/>
        <v>0</v>
      </c>
      <c r="J47" s="16">
        <f t="shared" si="2"/>
        <v>0</v>
      </c>
      <c r="K47" s="16">
        <f t="shared" si="2"/>
        <v>0</v>
      </c>
      <c r="L47" s="16">
        <f t="shared" si="2"/>
        <v>0</v>
      </c>
      <c r="M47" s="16">
        <f t="shared" si="2"/>
        <v>0</v>
      </c>
      <c r="N47" s="16">
        <f t="shared" si="2"/>
        <v>0</v>
      </c>
      <c r="O47" s="16">
        <f t="shared" si="2"/>
        <v>0</v>
      </c>
      <c r="P47" s="16">
        <f t="shared" si="2"/>
        <v>0</v>
      </c>
      <c r="Q47" s="16">
        <f t="shared" si="2"/>
        <v>0</v>
      </c>
      <c r="R47" s="16">
        <f t="shared" si="2"/>
        <v>0</v>
      </c>
      <c r="S47" s="16">
        <f t="shared" si="2"/>
        <v>0</v>
      </c>
      <c r="T47" s="16">
        <f t="shared" si="2"/>
        <v>0</v>
      </c>
      <c r="U47" s="16">
        <f t="shared" si="2"/>
        <v>0</v>
      </c>
      <c r="V47" s="16">
        <f t="shared" si="2"/>
        <v>0</v>
      </c>
      <c r="W47" s="16">
        <f t="shared" si="2"/>
        <v>0</v>
      </c>
      <c r="X47" s="16">
        <f t="shared" si="2"/>
        <v>0</v>
      </c>
      <c r="Y47" s="16">
        <f t="shared" si="2"/>
        <v>0</v>
      </c>
      <c r="Z47" s="16">
        <f t="shared" si="2"/>
        <v>0</v>
      </c>
      <c r="AA47" s="16">
        <f t="shared" si="2"/>
        <v>0</v>
      </c>
      <c r="AB47" s="16">
        <f t="shared" si="2"/>
        <v>0</v>
      </c>
      <c r="AC47" s="16">
        <f t="shared" si="2"/>
        <v>0</v>
      </c>
      <c r="AD47" s="16">
        <f t="shared" si="2"/>
        <v>0</v>
      </c>
      <c r="AE47" s="16">
        <f t="shared" si="2"/>
        <v>0</v>
      </c>
      <c r="AF47" s="16">
        <f t="shared" si="2"/>
        <v>0</v>
      </c>
      <c r="AG47" s="9"/>
    </row>
    <row r="48" ht="23.25" customHeight="1" spans="1:33">
      <c r="A48" s="19" t="s">
        <v>17</v>
      </c>
      <c r="B48" s="13"/>
      <c r="C48" s="16" t="str">
        <f ca="1" t="array" ref="C48">IFERROR((AVERAGE(LARGE(C2:C43,ROW(INDIRECT("1:"&amp;ROUNDUP(COUNT(C2:C43)*0.3,0)))))-AVERAGE(SMALL(C2:C43,ROW(INDIRECT("1:"&amp;ROUNDUP(COUNT(C2:C43)*0.3,0))))))/(MAX(C2:C43)-MIN(C2:C43)),"N/A")</f>
        <v>N/A</v>
      </c>
      <c r="D48" s="16" t="str">
        <f ca="1" t="array" ref="D48">IFERROR((AVERAGE(LARGE(D2:D43,ROW(INDIRECT("1:"&amp;ROUNDUP(COUNT(D2:D43)*0.3,0)))))-AVERAGE(SMALL(D2:D43,ROW(INDIRECT("1:"&amp;ROUNDUP(COUNT(D2:D43)*0.3,0))))))/(MAX(D2:D43)-MIN(D2:D43)),"N/A")</f>
        <v>N/A</v>
      </c>
      <c r="E48" s="16" t="str">
        <f ca="1" t="array" ref="E48">IFERROR((AVERAGE(LARGE(E2:E43,ROW(INDIRECT("1:"&amp;ROUNDUP(COUNT(E2:E43)*0.3,0)))))-AVERAGE(SMALL(E2:E43,ROW(INDIRECT("1:"&amp;ROUNDUP(COUNT(E2:E43)*0.3,0))))))/(MAX(E2:E43)-MIN(E2:E43)),"N/A")</f>
        <v>N/A</v>
      </c>
      <c r="F48" s="16" t="str">
        <f ca="1" t="array" ref="F48">IFERROR((AVERAGE(LARGE(F2:F43,ROW(INDIRECT("1:"&amp;ROUNDUP(COUNT(F2:F43)*0.3,0)))))-AVERAGE(SMALL(F2:F43,ROW(INDIRECT("1:"&amp;ROUNDUP(COUNT(F2:F43)*0.3,0))))))/(MAX(F2:F43)-MIN(F2:F43)),"N/A")</f>
        <v>N/A</v>
      </c>
      <c r="G48" s="16" t="str">
        <f ca="1" t="array" ref="G48">IFERROR((AVERAGE(LARGE(G2:G43,ROW(INDIRECT("1:"&amp;ROUNDUP(COUNT(G2:G43)*0.3,0)))))-AVERAGE(SMALL(G2:G43,ROW(INDIRECT("1:"&amp;ROUNDUP(COUNT(G2:G43)*0.3,0))))))/(MAX(G2:G43)-MIN(G2:G43)),"N/A")</f>
        <v>N/A</v>
      </c>
      <c r="H48" s="16" t="str">
        <f ca="1" t="array" ref="H48">IFERROR((AVERAGE(LARGE(H2:H43,ROW(INDIRECT("1:"&amp;ROUNDUP(COUNT(H2:H43)*0.3,0)))))-AVERAGE(SMALL(H2:H43,ROW(INDIRECT("1:"&amp;ROUNDUP(COUNT(H2:H43)*0.3,0))))))/(MAX(H2:H43)-MIN(H2:H43)),"N/A")</f>
        <v>N/A</v>
      </c>
      <c r="I48" s="16" t="str">
        <f ca="1" t="array" ref="I48">IFERROR((AVERAGE(LARGE(I2:I43,ROW(INDIRECT("1:"&amp;ROUNDUP(COUNT(I2:I43)*0.3,0)))))-AVERAGE(SMALL(I2:I43,ROW(INDIRECT("1:"&amp;ROUNDUP(COUNT(I2:I43)*0.3,0))))))/(MAX(I2:I43)-MIN(I2:I43)),"N/A")</f>
        <v>N/A</v>
      </c>
      <c r="J48" s="16" t="str">
        <f ca="1" t="array" ref="J48">IFERROR((AVERAGE(LARGE(J2:J43,ROW(INDIRECT("1:"&amp;ROUNDUP(COUNT(J2:J43)*0.3,0)))))-AVERAGE(SMALL(J2:J43,ROW(INDIRECT("1:"&amp;ROUNDUP(COUNT(J2:J43)*0.3,0))))))/(MAX(J2:J43)-MIN(J2:J43)),"N/A")</f>
        <v>N/A</v>
      </c>
      <c r="K48" s="16" t="str">
        <f ca="1" t="array" ref="K48">IFERROR((AVERAGE(LARGE(K2:K43,ROW(INDIRECT("1:"&amp;ROUNDUP(COUNT(K2:K43)*0.3,0)))))-AVERAGE(SMALL(K2:K43,ROW(INDIRECT("1:"&amp;ROUNDUP(COUNT(K2:K43)*0.3,0))))))/(MAX(K2:K43)-MIN(K2:K43)),"N/A")</f>
        <v>N/A</v>
      </c>
      <c r="L48" s="16" t="str">
        <f ca="1" t="array" ref="L48">IFERROR((AVERAGE(LARGE(L2:L43,ROW(INDIRECT("1:"&amp;ROUNDUP(COUNT(L2:L43)*0.3,0)))))-AVERAGE(SMALL(L2:L43,ROW(INDIRECT("1:"&amp;ROUNDUP(COUNT(L2:L43)*0.3,0))))))/(MAX(L2:L43)-MIN(L2:L43)),"N/A")</f>
        <v>N/A</v>
      </c>
      <c r="M48" s="16" t="str">
        <f ca="1" t="array" ref="M48">IFERROR((AVERAGE(LARGE(M2:M43,ROW(INDIRECT("1:"&amp;ROUNDUP(COUNT(M2:M43)*0.3,0)))))-AVERAGE(SMALL(M2:M43,ROW(INDIRECT("1:"&amp;ROUNDUP(COUNT(M2:M43)*0.3,0))))))/(MAX(M2:M43)-MIN(M2:M43)),"N/A")</f>
        <v>N/A</v>
      </c>
      <c r="N48" s="16" t="str">
        <f ca="1" t="array" ref="N48">IFERROR((AVERAGE(LARGE(N2:N43,ROW(INDIRECT("1:"&amp;ROUNDUP(COUNT(N2:N43)*0.3,0)))))-AVERAGE(SMALL(N2:N43,ROW(INDIRECT("1:"&amp;ROUNDUP(COUNT(N2:N43)*0.3,0))))))/(MAX(N2:N43)-MIN(N2:N43)),"N/A")</f>
        <v>N/A</v>
      </c>
      <c r="O48" s="16" t="str">
        <f ca="1" t="array" ref="O48">IFERROR((AVERAGE(LARGE(O2:O43,ROW(INDIRECT("1:"&amp;ROUNDUP(COUNT(O2:O43)*0.3,0)))))-AVERAGE(SMALL(O2:O43,ROW(INDIRECT("1:"&amp;ROUNDUP(COUNT(O2:O43)*0.3,0))))))/(MAX(O2:O43)-MIN(O2:O43)),"N/A")</f>
        <v>N/A</v>
      </c>
      <c r="P48" s="16" t="str">
        <f ca="1" t="array" ref="P48">IFERROR((AVERAGE(LARGE(P2:P43,ROW(INDIRECT("1:"&amp;ROUNDUP(COUNT(P2:P43)*0.3,0)))))-AVERAGE(SMALL(P2:P43,ROW(INDIRECT("1:"&amp;ROUNDUP(COUNT(P2:P43)*0.3,0))))))/(MAX(P2:P43)-MIN(P2:P43)),"N/A")</f>
        <v>N/A</v>
      </c>
      <c r="Q48" s="16" t="str">
        <f ca="1" t="array" ref="Q48">IFERROR((AVERAGE(LARGE(Q2:Q43,ROW(INDIRECT("1:"&amp;ROUNDUP(COUNT(Q2:Q43)*0.3,0)))))-AVERAGE(SMALL(Q2:Q43,ROW(INDIRECT("1:"&amp;ROUNDUP(COUNT(Q2:Q43)*0.3,0))))))/(MAX(Q2:Q43)-MIN(Q2:Q43)),"N/A")</f>
        <v>N/A</v>
      </c>
      <c r="R48" s="16" t="str">
        <f ca="1" t="array" ref="R48">IFERROR((AVERAGE(LARGE(R2:R43,ROW(INDIRECT("1:"&amp;ROUNDUP(COUNT(R2:R43)*0.3,0)))))-AVERAGE(SMALL(R2:R43,ROW(INDIRECT("1:"&amp;ROUNDUP(COUNT(R2:R43)*0.3,0))))))/(MAX(R2:R43)-MIN(R2:R43)),"N/A")</f>
        <v>N/A</v>
      </c>
      <c r="S48" s="16" t="str">
        <f ca="1" t="array" ref="S48">IFERROR((AVERAGE(LARGE(S2:S43,ROW(INDIRECT("1:"&amp;ROUNDUP(COUNT(S2:S43)*0.3,0)))))-AVERAGE(SMALL(S2:S43,ROW(INDIRECT("1:"&amp;ROUNDUP(COUNT(S2:S43)*0.3,0))))))/(MAX(S2:S43)-MIN(S2:S43)),"N/A")</f>
        <v>N/A</v>
      </c>
      <c r="T48" s="16" t="str">
        <f ca="1" t="array" ref="T48">IFERROR((AVERAGE(LARGE(T2:T43,ROW(INDIRECT("1:"&amp;ROUNDUP(COUNT(T2:T43)*0.3,0)))))-AVERAGE(SMALL(T2:T43,ROW(INDIRECT("1:"&amp;ROUNDUP(COUNT(T2:T43)*0.3,0))))))/(MAX(T2:T43)-MIN(T2:T43)),"N/A")</f>
        <v>N/A</v>
      </c>
      <c r="U48" s="16" t="str">
        <f ca="1" t="array" ref="U48">IFERROR((AVERAGE(LARGE(U2:U43,ROW(INDIRECT("1:"&amp;ROUNDUP(COUNT(U2:U43)*0.3,0)))))-AVERAGE(SMALL(U2:U43,ROW(INDIRECT("1:"&amp;ROUNDUP(COUNT(U2:U43)*0.3,0))))))/(MAX(U2:U43)-MIN(U2:U43)),"N/A")</f>
        <v>N/A</v>
      </c>
      <c r="V48" s="16" t="str">
        <f ca="1" t="array" ref="V48">IFERROR((AVERAGE(LARGE(V2:V43,ROW(INDIRECT("1:"&amp;ROUNDUP(COUNT(V2:V43)*0.3,0)))))-AVERAGE(SMALL(V2:V43,ROW(INDIRECT("1:"&amp;ROUNDUP(COUNT(V2:V43)*0.3,0))))))/(MAX(V2:V43)-MIN(V2:V43)),"N/A")</f>
        <v>N/A</v>
      </c>
      <c r="W48" s="16" t="str">
        <f ca="1" t="array" ref="W48">IFERROR((AVERAGE(LARGE(W2:W43,ROW(INDIRECT("1:"&amp;ROUNDUP(COUNT(W2:W43)*0.3,0)))))-AVERAGE(SMALL(W2:W43,ROW(INDIRECT("1:"&amp;ROUNDUP(COUNT(W2:W43)*0.3,0))))))/(MAX(W2:W43)-MIN(W2:W43)),"N/A")</f>
        <v>N/A</v>
      </c>
      <c r="X48" s="16" t="str">
        <f ca="1" t="array" ref="X48">IFERROR((AVERAGE(LARGE(X2:X43,ROW(INDIRECT("1:"&amp;ROUNDUP(COUNT(X2:X43)*0.3,0)))))-AVERAGE(SMALL(X2:X43,ROW(INDIRECT("1:"&amp;ROUNDUP(COUNT(X2:X43)*0.3,0))))))/(MAX(X2:X43)-MIN(X2:X43)),"N/A")</f>
        <v>N/A</v>
      </c>
      <c r="Y48" s="16" t="str">
        <f ca="1" t="array" ref="Y48">IFERROR((AVERAGE(LARGE(Y2:Y43,ROW(INDIRECT("1:"&amp;ROUNDUP(COUNT(Y2:Y43)*0.3,0)))))-AVERAGE(SMALL(Y2:Y43,ROW(INDIRECT("1:"&amp;ROUNDUP(COUNT(Y2:Y43)*0.3,0))))))/(MAX(Y2:Y43)-MIN(Y2:Y43)),"N/A")</f>
        <v>N/A</v>
      </c>
      <c r="Z48" s="16" t="str">
        <f ca="1" t="array" ref="Z48">IFERROR((AVERAGE(LARGE(Z2:Z43,ROW(INDIRECT("1:"&amp;ROUNDUP(COUNT(Z2:Z43)*0.3,0)))))-AVERAGE(SMALL(Z2:Z43,ROW(INDIRECT("1:"&amp;ROUNDUP(COUNT(Z2:Z43)*0.3,0))))))/(MAX(Z2:Z43)-MIN(Z2:Z43)),"N/A")</f>
        <v>N/A</v>
      </c>
      <c r="AA48" s="16" t="str">
        <f ca="1" t="array" ref="AA48">IFERROR((AVERAGE(LARGE(AA2:AA43,ROW(INDIRECT("1:"&amp;ROUNDUP(COUNT(AA2:AA43)*0.3,0)))))-AVERAGE(SMALL(AA2:AA43,ROW(INDIRECT("1:"&amp;ROUNDUP(COUNT(AA2:AA43)*0.3,0))))))/(MAX(AA2:AA43)-MIN(AA2:AA43)),"N/A")</f>
        <v>N/A</v>
      </c>
      <c r="AB48" s="16" t="str">
        <f ca="1" t="array" ref="AB48">IFERROR((AVERAGE(LARGE(AB2:AB43,ROW(INDIRECT("1:"&amp;ROUNDUP(COUNT(AB2:AB43)*0.3,0)))))-AVERAGE(SMALL(AB2:AB43,ROW(INDIRECT("1:"&amp;ROUNDUP(COUNT(AB2:AB43)*0.3,0))))))/(MAX(AB2:AB43)-MIN(AB2:AB43)),"N/A")</f>
        <v>N/A</v>
      </c>
      <c r="AC48" s="16" t="str">
        <f ca="1" t="array" ref="AC48">IFERROR((AVERAGE(LARGE(AC2:AC43,ROW(INDIRECT("1:"&amp;ROUNDUP(COUNT(AC2:AC43)*0.3,0)))))-AVERAGE(SMALL(AC2:AC43,ROW(INDIRECT("1:"&amp;ROUNDUP(COUNT(AC2:AC43)*0.3,0))))))/(MAX(AC2:AC43)-MIN(AC2:AC43)),"N/A")</f>
        <v>N/A</v>
      </c>
      <c r="AD48" s="16" t="str">
        <f ca="1" t="array" ref="AD48">IFERROR((AVERAGE(LARGE(AD2:AD43,ROW(INDIRECT("1:"&amp;ROUNDUP(COUNT(AD2:AD43)*0.3,0)))))-AVERAGE(SMALL(AD2:AD43,ROW(INDIRECT("1:"&amp;ROUNDUP(COUNT(AD2:AD43)*0.3,0))))))/(MAX(AD2:AD43)-MIN(AD2:AD43)),"N/A")</f>
        <v>N/A</v>
      </c>
      <c r="AE48" s="16" t="str">
        <f ca="1" t="array" ref="AE48">IFERROR((AVERAGE(LARGE(AE2:AE43,ROW(INDIRECT("1:"&amp;ROUNDUP(COUNT(AE2:AE43)*0.3,0)))))-AVERAGE(SMALL(AE2:AE43,ROW(INDIRECT("1:"&amp;ROUNDUP(COUNT(AE2:AE43)*0.3,0))))))/(MAX(AE2:AE43)-MIN(AE2:AE43)),"N/A")</f>
        <v>N/A</v>
      </c>
      <c r="AF48" s="16" t="str">
        <f ca="1" t="array" ref="AF48">IFERROR((AVERAGE(LARGE(AF2:AF43,ROW(INDIRECT("1:"&amp;ROUNDUP(COUNT(AF2:AF43)*0.3,0)))))-AVERAGE(SMALL(AF2:AF43,ROW(INDIRECT("1:"&amp;ROUNDUP(COUNT(AF2:AF43)*0.3,0))))))/(MAX(AF2:AF43)-MIN(AF2:AF43)),"N/A")</f>
        <v>N/A</v>
      </c>
      <c r="AG48" s="9"/>
    </row>
    <row r="49" ht="23.25" customHeight="1" spans="1:33">
      <c r="A49" s="20" t="s">
        <v>18</v>
      </c>
      <c r="B49" s="13"/>
      <c r="C49" s="16" t="e">
        <f>IF(AND(COUNTA(C2:C43)&gt;0,OR(_xlfn.MODE.SNGL(C2:C43)=0,_xlfn.MODE.SNGL(C2:C43)=MIN(C2:C43),_xlfn.MODE.SNGL(C2:C43)&lt;MAX(C2:C43))),"تعالج","لا تعالج")</f>
        <v>#NAME?</v>
      </c>
      <c r="D49" s="16" t="e">
        <f>IF(AND(COUNTA(D2:D43)&gt;0,OR(_xlfn.MODE.SNGL(D2:D43)=0,_xlfn.MODE.SNGL(D2:D43)=MIN(D2:D43),_xlfn.MODE.SNGL(D2:D43)&lt;MAX(D2:D43))),"تعالج","لا تعالج")</f>
        <v>#NAME?</v>
      </c>
      <c r="E49" s="16" t="e">
        <f>IF(AND(COUNTA(E2:E43)&gt;0,OR(_xlfn.MODE.SNGL(E2:E43)=0,_xlfn.MODE.SNGL(E2:E43)=MIN(E2:E43),_xlfn.MODE.SNGL(E2:E43)&lt;MAX(E2:E43))),"تعالج","لا تعالج")</f>
        <v>#NAME?</v>
      </c>
      <c r="F49" s="16" t="e">
        <f>IF(AND(COUNTA(F2:F43)&gt;0,OR(_xlfn.MODE.SNGL(F2:F43)=0,_xlfn.MODE.SNGL(F2:F43)=MIN(F2:F43),_xlfn.MODE.SNGL(F2:F43)&lt;MAX(F2:F43))),"تعالج","لا تعالج")</f>
        <v>#NAME?</v>
      </c>
      <c r="G49" s="16" t="e">
        <f>IF(AND(COUNTA(G2:G43)&gt;0,OR(_xlfn.MODE.SNGL(G2:G43)=0,_xlfn.MODE.SNGL(G2:G43)=MIN(G2:G43),_xlfn.MODE.SNGL(G2:G43)&lt;MAX(G2:G43))),"تعالج","لا تعالج")</f>
        <v>#NAME?</v>
      </c>
      <c r="H49" s="16" t="e">
        <f>IF(AND(COUNTA(H2:H43)&gt;0,OR(_xlfn.MODE.SNGL(H2:H43)=0,_xlfn.MODE.SNGL(H2:H43)=MIN(H2:H43),_xlfn.MODE.SNGL(H2:H43)&lt;MAX(H2:H43))),"تعالج","لا تعالج")</f>
        <v>#NAME?</v>
      </c>
      <c r="I49" s="16" t="e">
        <f>IF(AND(COUNTA(I2:I43)&gt;0,OR(_xlfn.MODE.SNGL(I2:I43)=0,_xlfn.MODE.SNGL(I2:I43)=MIN(I2:I43),_xlfn.MODE.SNGL(I2:I43)&lt;MAX(I2:I43))),"تعالج","لا تعالج")</f>
        <v>#NAME?</v>
      </c>
      <c r="J49" s="16" t="e">
        <f>IF(AND(COUNTA(J2:J43)&gt;0,OR(_xlfn.MODE.SNGL(J2:J43)=0,_xlfn.MODE.SNGL(J2:J43)=MIN(J2:J43),_xlfn.MODE.SNGL(J2:J43)&lt;MAX(J2:J43))),"تعالج","لا تعالج")</f>
        <v>#NAME?</v>
      </c>
      <c r="K49" s="16" t="e">
        <f>IF(AND(COUNTA(K2:K43)&gt;0,OR(_xlfn.MODE.SNGL(K2:K43)=0,_xlfn.MODE.SNGL(K2:K43)=MIN(K2:K43),_xlfn.MODE.SNGL(K2:K43)&lt;MAX(K2:K43))),"تعالج","لا تعالج")</f>
        <v>#NAME?</v>
      </c>
      <c r="L49" s="16" t="e">
        <f>IF(AND(COUNTA(L2:L43)&gt;0,OR(_xlfn.MODE.SNGL(L2:L43)=0,_xlfn.MODE.SNGL(L2:L43)=MIN(L2:L43),_xlfn.MODE.SNGL(L2:L43)&lt;MAX(L2:L43))),"تعالج","لا تعالج")</f>
        <v>#NAME?</v>
      </c>
      <c r="M49" s="16" t="e">
        <f>IF(AND(COUNTA(M2:M43)&gt;0,OR(_xlfn.MODE.SNGL(M2:M43)=0,_xlfn.MODE.SNGL(M2:M43)=MIN(M2:M43),_xlfn.MODE.SNGL(M2:M43)&lt;MAX(M2:M43))),"تعالج","لا تعالج")</f>
        <v>#NAME?</v>
      </c>
      <c r="N49" s="16" t="e">
        <f>IF(AND(COUNTA(N2:N43)&gt;0,OR(_xlfn.MODE.SNGL(N2:N43)=0,_xlfn.MODE.SNGL(N2:N43)=MIN(N2:N43),_xlfn.MODE.SNGL(N2:N43)&lt;MAX(N2:N43))),"تعالج","لا تعالج")</f>
        <v>#NAME?</v>
      </c>
      <c r="O49" s="16" t="e">
        <f>IF(AND(COUNTA(O2:O43)&gt;0,OR(_xlfn.MODE.SNGL(O2:O43)=0,_xlfn.MODE.SNGL(O2:O43)=MIN(O2:O43),_xlfn.MODE.SNGL(O2:O43)&lt;MAX(O2:O43))),"تعالج","لا تعالج")</f>
        <v>#NAME?</v>
      </c>
      <c r="P49" s="16" t="e">
        <f>IF(AND(COUNTA(P2:P43)&gt;0,OR(_xlfn.MODE.SNGL(P2:P43)=0,_xlfn.MODE.SNGL(P2:P43)=MIN(P2:P43),_xlfn.MODE.SNGL(P2:P43)&lt;MAX(P2:P43))),"تعالج","لا تعالج")</f>
        <v>#NAME?</v>
      </c>
      <c r="Q49" s="16" t="e">
        <f>IF(AND(COUNTA(Q2:Q43)&gt;0,OR(_xlfn.MODE.SNGL(Q2:Q43)=0,_xlfn.MODE.SNGL(Q2:Q43)=MIN(Q2:Q43),_xlfn.MODE.SNGL(Q2:Q43)&lt;MAX(Q2:Q43))),"تعالج","لا تعالج")</f>
        <v>#NAME?</v>
      </c>
      <c r="R49" s="16" t="e">
        <f>IF(AND(COUNTA(R2:R43)&gt;0,OR(_xlfn.MODE.SNGL(R2:R43)=0,_xlfn.MODE.SNGL(R2:R43)=MIN(R2:R43),_xlfn.MODE.SNGL(R2:R43)&lt;MAX(R2:R43))),"تعالج","لا تعالج")</f>
        <v>#NAME?</v>
      </c>
      <c r="S49" s="16" t="e">
        <f>IF(AND(COUNTA(S2:S43)&gt;0,OR(_xlfn.MODE.SNGL(S2:S43)=0,_xlfn.MODE.SNGL(S2:S43)=MIN(S2:S43),_xlfn.MODE.SNGL(S2:S43)&lt;MAX(S2:S43))),"تعالج","لا تعالج")</f>
        <v>#NAME?</v>
      </c>
      <c r="T49" s="16" t="e">
        <f>IF(AND(COUNTA(T2:T43)&gt;0,OR(_xlfn.MODE.SNGL(T2:T43)=0,_xlfn.MODE.SNGL(T2:T43)=MIN(T2:T43),_xlfn.MODE.SNGL(T2:T43)&lt;MAX(T2:T43))),"تعالج","لا تعالج")</f>
        <v>#NAME?</v>
      </c>
      <c r="U49" s="16" t="e">
        <f>IF(AND(COUNTA(U2:U43)&gt;0,OR(_xlfn.MODE.SNGL(U2:U43)=0,_xlfn.MODE.SNGL(U2:U43)=MIN(U2:U43),_xlfn.MODE.SNGL(U2:U43)&lt;MAX(U2:U43))),"تعالج","لا تعالج")</f>
        <v>#NAME?</v>
      </c>
      <c r="V49" s="16" t="e">
        <f>IF(AND(COUNTA(V2:V43)&gt;0,OR(_xlfn.MODE.SNGL(V2:V43)=0,_xlfn.MODE.SNGL(V2:V43)=MIN(V2:V43),_xlfn.MODE.SNGL(V2:V43)&lt;MAX(V2:V43))),"تعالج","لا تعالج")</f>
        <v>#NAME?</v>
      </c>
      <c r="W49" s="16" t="e">
        <f>IF(AND(COUNTA(W2:W43)&gt;0,OR(_xlfn.MODE.SNGL(W2:W43)=0,_xlfn.MODE.SNGL(W2:W43)=MIN(W2:W43),_xlfn.MODE.SNGL(W2:W43)&lt;MAX(W2:W43))),"تعالج","لا تعالج")</f>
        <v>#NAME?</v>
      </c>
      <c r="X49" s="16" t="e">
        <f>IF(AND(COUNTA(X2:X43)&gt;0,OR(_xlfn.MODE.SNGL(X2:X43)=0,_xlfn.MODE.SNGL(X2:X43)=MIN(X2:X43),_xlfn.MODE.SNGL(X2:X43)&lt;MAX(X2:X43))),"تعالج","لا تعالج")</f>
        <v>#NAME?</v>
      </c>
      <c r="Y49" s="16" t="e">
        <f>IF(AND(COUNTA(Y2:Y43)&gt;0,OR(_xlfn.MODE.SNGL(Y2:Y43)=0,_xlfn.MODE.SNGL(Y2:Y43)=MIN(Y2:Y43),_xlfn.MODE.SNGL(Y2:Y43)&lt;MAX(Y2:Y43))),"تعالج","لا تعالج")</f>
        <v>#NAME?</v>
      </c>
      <c r="Z49" s="16" t="e">
        <f>IF(AND(COUNTA(Z2:Z43)&gt;0,OR(_xlfn.MODE.SNGL(Z2:Z43)=0,_xlfn.MODE.SNGL(Z2:Z43)=MIN(Z2:Z43),_xlfn.MODE.SNGL(Z2:Z43)&lt;MAX(Z2:Z43))),"تعالج","لا تعالج")</f>
        <v>#NAME?</v>
      </c>
      <c r="AA49" s="16" t="e">
        <f>IF(AND(COUNTA(AA2:AA43)&gt;0,OR(_xlfn.MODE.SNGL(AA2:AA43)=0,_xlfn.MODE.SNGL(AA2:AA43)=MIN(AA2:AA43),_xlfn.MODE.SNGL(AA2:AA43)&lt;MAX(AA2:AA43))),"تعالج","لا تعالج")</f>
        <v>#NAME?</v>
      </c>
      <c r="AB49" s="16" t="e">
        <f>IF(AND(COUNTA(AB2:AB43)&gt;0,OR(_xlfn.MODE.SNGL(AB2:AB43)=0,_xlfn.MODE.SNGL(AB2:AB43)=MIN(AB2:AB43),_xlfn.MODE.SNGL(AB2:AB43)&lt;MAX(AB2:AB43))),"تعالج","لا تعالج")</f>
        <v>#NAME?</v>
      </c>
      <c r="AC49" s="16" t="e">
        <f>IF(AND(COUNTA(AC2:AC43)&gt;0,OR(_xlfn.MODE.SNGL(AC2:AC43)=0,_xlfn.MODE.SNGL(AC2:AC43)=MIN(AC2:AC43),_xlfn.MODE.SNGL(AC2:AC43)&lt;MAX(AC2:AC43))),"تعالج","لا تعالج")</f>
        <v>#NAME?</v>
      </c>
      <c r="AD49" s="16" t="e">
        <f>IF(AND(COUNTA(AD2:AD43)&gt;0,OR(_xlfn.MODE.SNGL(AD2:AD43)=0,_xlfn.MODE.SNGL(AD2:AD43)=MIN(AD2:AD43),_xlfn.MODE.SNGL(AD2:AD43)&lt;MAX(AD2:AD43))),"تعالج","لا تعالج")</f>
        <v>#NAME?</v>
      </c>
      <c r="AE49" s="16" t="e">
        <f>IF(AND(COUNTA(AE2:AE43)&gt;0,OR(_xlfn.MODE.SNGL(AE2:AE43)=0,_xlfn.MODE.SNGL(AE2:AE43)=MIN(AE2:AE43),_xlfn.MODE.SNGL(AE2:AE43)&lt;MAX(AE2:AE43))),"تعالج","لا تعالج")</f>
        <v>#NAME?</v>
      </c>
      <c r="AF49" s="16" t="e">
        <f>IF(AND(COUNTA(AF2:AF43)&gt;0,OR(_xlfn.MODE.SNGL(AF2:AF43)=0,_xlfn.MODE.SNGL(AF2:AF43)=MIN(AF2:AF43),_xlfn.MODE.SNGL(AF2:AF43)&lt;MAX(AF2:AF43))),"تعالج","لا تعالج")</f>
        <v>#NAME?</v>
      </c>
      <c r="AG49" s="9"/>
    </row>
  </sheetData>
  <mergeCells count="40">
    <mergeCell ref="C1:AG1"/>
    <mergeCell ref="A44:B44"/>
    <mergeCell ref="A45:B45"/>
    <mergeCell ref="A46:B46"/>
    <mergeCell ref="A47:B47"/>
    <mergeCell ref="A48:B48"/>
    <mergeCell ref="A49:B49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5" outlineLevelRow="4"/>
  <cols>
    <col min="1" max="1" width="32.1238095238095" customWidth="1"/>
  </cols>
  <sheetData>
    <row r="1" spans="1:1">
      <c r="A1" s="1" t="s">
        <v>24</v>
      </c>
    </row>
    <row r="2" spans="1:1">
      <c r="A2" s="1" t="s">
        <v>25</v>
      </c>
    </row>
    <row r="3" spans="1:1">
      <c r="A3" s="1" t="s">
        <v>26</v>
      </c>
    </row>
    <row r="4" spans="1:1">
      <c r="A4" s="1" t="s">
        <v>27</v>
      </c>
    </row>
    <row r="5" spans="1:1">
      <c r="A5" s="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Dashboard</vt:lpstr>
      <vt:lpstr>اختبار قصير (1)</vt:lpstr>
      <vt:lpstr>اختبار قصير (2)</vt:lpstr>
      <vt:lpstr>اختبار قصير (3)</vt:lpstr>
      <vt:lpstr>اختبار نهائي (1)</vt:lpstr>
      <vt:lpstr>اختبار نهائي (2)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2024-08-28T12:13:00Z</dcterms:created>
  <dcterms:modified xsi:type="dcterms:W3CDTF">2026-02-08T12:17:10Z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DD66A49F79294885846D3C1E88209A1B_13</vt:lpwstr>
  </property>
  <property fmtid="{D5CDD505-2E9C-101B-9397-08002B2CF9AE}" pid="3" name="KSOProductBuildVer">
    <vt:lpwstr>1033-12.2.0.23196</vt:lpwstr>
  </property>
</Properties>
</file>