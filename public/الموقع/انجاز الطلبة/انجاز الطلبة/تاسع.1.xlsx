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amr\Downloads\المستندات\Desktop\تحليل النتائج\"/>
    </mc:Choice>
  </mc:AlternateContent>
  <bookViews>
    <workbookView xWindow="0" yWindow="0" windowWidth="20430" windowHeight="7485" tabRatio="803"/>
  </bookViews>
  <sheets>
    <sheet name="الرئيسية" sheetId="1" r:id="rId1"/>
    <sheet name="صباحي ▏ ❺   " sheetId="9" r:id="rId2"/>
    <sheet name="مسائي ▏ ❺   " sheetId="24" r:id="rId3"/>
    <sheet name="صباحي ▏ ❻" sheetId="23" r:id="rId4"/>
    <sheet name="مسائي ▏ ❻" sheetId="33" r:id="rId5"/>
    <sheet name="صباحي ▏ ❼" sheetId="22" r:id="rId6"/>
    <sheet name="مسائي ▏ ❼" sheetId="39" r:id="rId7"/>
    <sheet name=" صباحي ▏ ❽" sheetId="21" r:id="rId8"/>
    <sheet name=" مسـائي ▏ ❽" sheetId="34" r:id="rId9"/>
    <sheet name="كـمياء❇️صباحي▏❾ " sheetId="36" r:id="rId10"/>
    <sheet name="كـمياء ▏ مسائي ▏ ❾ " sheetId="37" r:id="rId11"/>
    <sheet name=" كيمياء𒁹❿ " sheetId="38" r:id="rId12"/>
    <sheet name="DATA" sheetId="4" state="hidden" r:id="rId13"/>
  </sheets>
  <definedNames>
    <definedName name="_xlnm.Print_Area" localSheetId="0">الرئيسية!$B$1:$N$38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5" i="38" l="1"/>
  <c r="AT6" i="38"/>
  <c r="AT7" i="38"/>
  <c r="AT8" i="38"/>
  <c r="AT4" i="38"/>
  <c r="AT9" i="38"/>
  <c r="AT10" i="38"/>
  <c r="AT11" i="38"/>
  <c r="AT12" i="38"/>
  <c r="AT13" i="38"/>
  <c r="AT14" i="38"/>
  <c r="AT15" i="38"/>
  <c r="AT16" i="38"/>
  <c r="AT17" i="38"/>
  <c r="AT18" i="38"/>
  <c r="AT19" i="38"/>
  <c r="AT20" i="38"/>
  <c r="AT21" i="38"/>
  <c r="AT22" i="38"/>
  <c r="AT23" i="38"/>
  <c r="AT24" i="38"/>
  <c r="AQ5" i="38"/>
  <c r="AQ6" i="38"/>
  <c r="AQ7" i="38"/>
  <c r="AQ8" i="38"/>
  <c r="AQ9" i="38"/>
  <c r="AQ10" i="38"/>
  <c r="AQ11" i="38"/>
  <c r="AQ12" i="38"/>
  <c r="AQ13" i="38"/>
  <c r="AQ14" i="38"/>
  <c r="AQ15" i="38"/>
  <c r="AQ16" i="38"/>
  <c r="AQ17" i="38"/>
  <c r="AQ18" i="38"/>
  <c r="AQ19" i="38"/>
  <c r="AQ20" i="38"/>
  <c r="AQ21" i="38"/>
  <c r="AQ22" i="38"/>
  <c r="AQ23" i="38"/>
  <c r="AQ24" i="38"/>
  <c r="AU5" i="38"/>
  <c r="AU6" i="38"/>
  <c r="AU7" i="38"/>
  <c r="AU8" i="38"/>
  <c r="AU9" i="38"/>
  <c r="AU10" i="38"/>
  <c r="AU11" i="38"/>
  <c r="AU12" i="38"/>
  <c r="AU13" i="38"/>
  <c r="AU14" i="38"/>
  <c r="AU15" i="38"/>
  <c r="AU16" i="38"/>
  <c r="AU17" i="38"/>
  <c r="AU18" i="38"/>
  <c r="AU19" i="38"/>
  <c r="AU20" i="38"/>
  <c r="AU21" i="38"/>
  <c r="AU22" i="38"/>
  <c r="AU23" i="38"/>
  <c r="AU24" i="38"/>
  <c r="AS5" i="38"/>
  <c r="AS6" i="38"/>
  <c r="AS7" i="38"/>
  <c r="AS8" i="38"/>
  <c r="AS9" i="38"/>
  <c r="AS10" i="38"/>
  <c r="AS11" i="38"/>
  <c r="AS12" i="38"/>
  <c r="AS13" i="38"/>
  <c r="AS14" i="38"/>
  <c r="AS15" i="38"/>
  <c r="AS16" i="38"/>
  <c r="AS17" i="38"/>
  <c r="AS18" i="38"/>
  <c r="AS19" i="38"/>
  <c r="AS20" i="38"/>
  <c r="AS21" i="38"/>
  <c r="AS22" i="38"/>
  <c r="AS23" i="38"/>
  <c r="AS24" i="38"/>
  <c r="AR5" i="38"/>
  <c r="AR6" i="38"/>
  <c r="AR7" i="38"/>
  <c r="AR8" i="38"/>
  <c r="AR9" i="38"/>
  <c r="AR10" i="38"/>
  <c r="AR11" i="38"/>
  <c r="AR12" i="38"/>
  <c r="AR13" i="38"/>
  <c r="AR14" i="38"/>
  <c r="AR15" i="38"/>
  <c r="AR16" i="38"/>
  <c r="AR17" i="38"/>
  <c r="AR18" i="38"/>
  <c r="AR19" i="38"/>
  <c r="AR20" i="38"/>
  <c r="AR21" i="38"/>
  <c r="AR22" i="38"/>
  <c r="AR23" i="38"/>
  <c r="AR24" i="38"/>
  <c r="AU4" i="38"/>
  <c r="AS4" i="38"/>
  <c r="AR4" i="38"/>
  <c r="AL5" i="37"/>
  <c r="AL6" i="37"/>
  <c r="AL7" i="37"/>
  <c r="AL8" i="37"/>
  <c r="AL9" i="37"/>
  <c r="AL10" i="37"/>
  <c r="AL11" i="37"/>
  <c r="AL12" i="37"/>
  <c r="AL13" i="37"/>
  <c r="AL14" i="37"/>
  <c r="AL15" i="37"/>
  <c r="AL16" i="37"/>
  <c r="AL17" i="37"/>
  <c r="AL18" i="37"/>
  <c r="AL19" i="37"/>
  <c r="AL20" i="37"/>
  <c r="AL21" i="37"/>
  <c r="AL22" i="37"/>
  <c r="AL23" i="37"/>
  <c r="AL24" i="37"/>
  <c r="AK5" i="37"/>
  <c r="AK6" i="37"/>
  <c r="AK7" i="37"/>
  <c r="AK8" i="37"/>
  <c r="AK9" i="37"/>
  <c r="AK10" i="37"/>
  <c r="AK11" i="37"/>
  <c r="AK12" i="37"/>
  <c r="AK13" i="37"/>
  <c r="AK14" i="37"/>
  <c r="AK15" i="37"/>
  <c r="AK16" i="37"/>
  <c r="AK17" i="37"/>
  <c r="AK18" i="37"/>
  <c r="AK19" i="37"/>
  <c r="AK20" i="37"/>
  <c r="AK21" i="37"/>
  <c r="AK22" i="37"/>
  <c r="AK23" i="37"/>
  <c r="AK24" i="37"/>
  <c r="AJ5" i="37"/>
  <c r="AJ6" i="37"/>
  <c r="AJ7" i="37"/>
  <c r="AJ8" i="37"/>
  <c r="AJ9" i="37"/>
  <c r="AJ10" i="37"/>
  <c r="AJ11" i="37"/>
  <c r="AJ12" i="37"/>
  <c r="AJ13" i="37"/>
  <c r="AJ14" i="37"/>
  <c r="AJ15" i="37"/>
  <c r="AJ16" i="37"/>
  <c r="AJ17" i="37"/>
  <c r="AJ18" i="37"/>
  <c r="AJ19" i="37"/>
  <c r="AJ20" i="37"/>
  <c r="AJ21" i="37"/>
  <c r="AJ22" i="37"/>
  <c r="AJ23" i="37"/>
  <c r="AJ24" i="37"/>
  <c r="AI5" i="37"/>
  <c r="AI6" i="37"/>
  <c r="AI7" i="37"/>
  <c r="AI8" i="37"/>
  <c r="AI9" i="37"/>
  <c r="AI10" i="37"/>
  <c r="AI11" i="37"/>
  <c r="AI12" i="37"/>
  <c r="AI13" i="37"/>
  <c r="AI14" i="37"/>
  <c r="AI15" i="37"/>
  <c r="AI16" i="37"/>
  <c r="AI17" i="37"/>
  <c r="AI18" i="37"/>
  <c r="AI19" i="37"/>
  <c r="AI20" i="37"/>
  <c r="AI21" i="37"/>
  <c r="AI22" i="37"/>
  <c r="AI23" i="37"/>
  <c r="AI24" i="37"/>
  <c r="AL4" i="37"/>
  <c r="AK4" i="37"/>
  <c r="AJ4" i="37"/>
  <c r="AK5" i="39"/>
  <c r="AK6" i="39"/>
  <c r="AK7" i="39"/>
  <c r="AK8" i="39"/>
  <c r="AK9" i="39"/>
  <c r="AK10" i="39"/>
  <c r="AK11" i="39"/>
  <c r="AK12" i="39"/>
  <c r="AK13" i="39"/>
  <c r="AK14" i="39"/>
  <c r="AK15" i="39"/>
  <c r="AK16" i="39"/>
  <c r="AK17" i="39"/>
  <c r="AK18" i="39"/>
  <c r="AK19" i="39"/>
  <c r="AK20" i="39"/>
  <c r="AK21" i="39"/>
  <c r="AK22" i="39"/>
  <c r="AK23" i="39"/>
  <c r="AK24" i="39"/>
  <c r="AJ5" i="39"/>
  <c r="AJ6" i="39"/>
  <c r="AJ7" i="39"/>
  <c r="AJ8" i="39"/>
  <c r="AJ9" i="39"/>
  <c r="AJ10" i="39"/>
  <c r="AJ11" i="39"/>
  <c r="AJ12" i="39"/>
  <c r="AJ13" i="39"/>
  <c r="AJ14" i="39"/>
  <c r="AJ15" i="39"/>
  <c r="AJ16" i="39"/>
  <c r="AJ17" i="39"/>
  <c r="AJ18" i="39"/>
  <c r="AJ19" i="39"/>
  <c r="AJ20" i="39"/>
  <c r="AJ21" i="39"/>
  <c r="AJ22" i="39"/>
  <c r="AJ23" i="39"/>
  <c r="AJ24" i="39"/>
  <c r="AI5" i="39"/>
  <c r="AI6" i="39"/>
  <c r="AI7" i="39"/>
  <c r="AI8" i="39"/>
  <c r="AI9" i="39"/>
  <c r="AI10" i="39"/>
  <c r="AI11" i="39"/>
  <c r="AI12" i="39"/>
  <c r="AI13" i="39"/>
  <c r="AI14" i="39"/>
  <c r="AI15" i="39"/>
  <c r="AI16" i="39"/>
  <c r="AI17" i="39"/>
  <c r="AI18" i="39"/>
  <c r="AI19" i="39"/>
  <c r="AI20" i="39"/>
  <c r="AI21" i="39"/>
  <c r="AI22" i="39"/>
  <c r="AI23" i="39"/>
  <c r="AI24" i="39"/>
  <c r="AH5" i="39"/>
  <c r="AH6" i="39"/>
  <c r="AH7" i="39"/>
  <c r="AH8" i="39"/>
  <c r="AH9" i="39"/>
  <c r="AH10" i="39"/>
  <c r="AH11" i="39"/>
  <c r="AH12" i="39"/>
  <c r="AH13" i="39"/>
  <c r="AH14" i="39"/>
  <c r="AH15" i="39"/>
  <c r="AH16" i="39"/>
  <c r="AH17" i="39"/>
  <c r="AH18" i="39"/>
  <c r="AH19" i="39"/>
  <c r="AH20" i="39"/>
  <c r="AH21" i="39"/>
  <c r="AH22" i="39"/>
  <c r="AH23" i="39"/>
  <c r="AH24" i="39"/>
  <c r="AJ4" i="39"/>
  <c r="AK4" i="39"/>
  <c r="AI4" i="39"/>
  <c r="AH4" i="39"/>
  <c r="B58" i="39" a="1"/>
  <c r="B58" i="39" s="1"/>
  <c r="AG25" i="39"/>
  <c r="AG26" i="39" s="1"/>
  <c r="AF25" i="39"/>
  <c r="AF26" i="39" s="1"/>
  <c r="AE25" i="39"/>
  <c r="AE26" i="39" s="1"/>
  <c r="AD25" i="39"/>
  <c r="AD26" i="39" s="1"/>
  <c r="AD27" i="39" s="1"/>
  <c r="AC25" i="39"/>
  <c r="AC26" i="39" s="1"/>
  <c r="AC27" i="39" s="1"/>
  <c r="AB25" i="39"/>
  <c r="AB26" i="39" s="1"/>
  <c r="AB27" i="39" s="1"/>
  <c r="AA25" i="39"/>
  <c r="AA26" i="39" s="1"/>
  <c r="AA27" i="39" s="1"/>
  <c r="Z25" i="39"/>
  <c r="Z26" i="39" s="1"/>
  <c r="Z27" i="39" s="1"/>
  <c r="Y25" i="39"/>
  <c r="Y26" i="39" s="1"/>
  <c r="Y27" i="39" s="1"/>
  <c r="X25" i="39"/>
  <c r="X26" i="39" s="1"/>
  <c r="X27" i="39" s="1"/>
  <c r="W25" i="39"/>
  <c r="W26" i="39" s="1"/>
  <c r="W27" i="39" s="1"/>
  <c r="V25" i="39"/>
  <c r="V26" i="39" s="1"/>
  <c r="V27" i="39" s="1"/>
  <c r="U25" i="39"/>
  <c r="U26" i="39" s="1"/>
  <c r="U27" i="39" s="1"/>
  <c r="T25" i="39"/>
  <c r="T26" i="39" s="1"/>
  <c r="T27" i="39" s="1"/>
  <c r="S25" i="39"/>
  <c r="S26" i="39" s="1"/>
  <c r="S27" i="39" s="1"/>
  <c r="R25" i="39"/>
  <c r="R26" i="39" s="1"/>
  <c r="R27" i="39" s="1"/>
  <c r="Q25" i="39"/>
  <c r="Q26" i="39" s="1"/>
  <c r="Q27" i="39" s="1"/>
  <c r="O25" i="39"/>
  <c r="O26" i="39" s="1"/>
  <c r="O27" i="39" s="1"/>
  <c r="N25" i="39"/>
  <c r="N26" i="39" s="1"/>
  <c r="N27" i="39" s="1"/>
  <c r="M25" i="39"/>
  <c r="M26" i="39" s="1"/>
  <c r="M27" i="39" s="1"/>
  <c r="L25" i="39"/>
  <c r="L26" i="39" s="1"/>
  <c r="L27" i="39" s="1"/>
  <c r="K25" i="39"/>
  <c r="K26" i="39" s="1"/>
  <c r="K27" i="39" s="1"/>
  <c r="J25" i="39"/>
  <c r="J26" i="39" s="1"/>
  <c r="J27" i="39" s="1"/>
  <c r="I25" i="39"/>
  <c r="I26" i="39" s="1"/>
  <c r="I27" i="39" s="1"/>
  <c r="H25" i="39"/>
  <c r="H26" i="39" s="1"/>
  <c r="H27" i="39" s="1"/>
  <c r="G25" i="39"/>
  <c r="G26" i="39" s="1"/>
  <c r="G27" i="39" s="1"/>
  <c r="F25" i="39"/>
  <c r="F26" i="39" s="1"/>
  <c r="F27" i="39" s="1"/>
  <c r="E25" i="39"/>
  <c r="E26" i="39" s="1"/>
  <c r="E27" i="39" s="1"/>
  <c r="D25" i="39"/>
  <c r="D26" i="39" s="1"/>
  <c r="D27" i="39" s="1"/>
  <c r="AH4" i="24"/>
  <c r="AI4" i="24"/>
  <c r="R25" i="34"/>
  <c r="R26" i="34" s="1"/>
  <c r="R27" i="34" s="1"/>
  <c r="C27" i="34"/>
  <c r="G26" i="34"/>
  <c r="G27" i="34" s="1"/>
  <c r="K26" i="34"/>
  <c r="K27" i="34" s="1"/>
  <c r="AG26" i="34"/>
  <c r="AG27" i="34" s="1"/>
  <c r="AJ26" i="34"/>
  <c r="AJ27" i="34" s="1"/>
  <c r="C25" i="34"/>
  <c r="C26" i="34" s="1"/>
  <c r="E25" i="34"/>
  <c r="E26" i="34" s="1"/>
  <c r="E27" i="34" s="1"/>
  <c r="F25" i="34"/>
  <c r="F26" i="34" s="1"/>
  <c r="F27" i="34" s="1"/>
  <c r="G25" i="34"/>
  <c r="H25" i="34"/>
  <c r="H26" i="34" s="1"/>
  <c r="H27" i="34" s="1"/>
  <c r="I25" i="34"/>
  <c r="I26" i="34" s="1"/>
  <c r="I27" i="34" s="1"/>
  <c r="J25" i="34"/>
  <c r="J26" i="34" s="1"/>
  <c r="J27" i="34" s="1"/>
  <c r="K25" i="34"/>
  <c r="L25" i="34"/>
  <c r="L26" i="34" s="1"/>
  <c r="L27" i="34" s="1"/>
  <c r="M25" i="34"/>
  <c r="M26" i="34" s="1"/>
  <c r="M27" i="34" s="1"/>
  <c r="N25" i="34"/>
  <c r="N26" i="34" s="1"/>
  <c r="N27" i="34" s="1"/>
  <c r="O25" i="34"/>
  <c r="O26" i="34" s="1"/>
  <c r="O27" i="34" s="1"/>
  <c r="P25" i="34"/>
  <c r="P26" i="34" s="1"/>
  <c r="P27" i="34" s="1"/>
  <c r="Q25" i="34"/>
  <c r="Q26" i="34" s="1"/>
  <c r="Q27" i="34" s="1"/>
  <c r="S25" i="34"/>
  <c r="S26" i="34" s="1"/>
  <c r="S27" i="34" s="1"/>
  <c r="T25" i="34"/>
  <c r="T26" i="34" s="1"/>
  <c r="T27" i="34" s="1"/>
  <c r="U25" i="34"/>
  <c r="U26" i="34" s="1"/>
  <c r="U27" i="34" s="1"/>
  <c r="V25" i="34"/>
  <c r="V26" i="34" s="1"/>
  <c r="V27" i="34" s="1"/>
  <c r="W25" i="34"/>
  <c r="W26" i="34" s="1"/>
  <c r="W27" i="34" s="1"/>
  <c r="X25" i="34"/>
  <c r="X26" i="34" s="1"/>
  <c r="X27" i="34" s="1"/>
  <c r="Y25" i="34"/>
  <c r="Y26" i="34" s="1"/>
  <c r="Y27" i="34" s="1"/>
  <c r="Z25" i="34"/>
  <c r="Z26" i="34" s="1"/>
  <c r="Z27" i="34" s="1"/>
  <c r="AA25" i="34"/>
  <c r="AA26" i="34" s="1"/>
  <c r="AA27" i="34" s="1"/>
  <c r="AB25" i="34"/>
  <c r="AB26" i="34" s="1"/>
  <c r="AB27" i="34" s="1"/>
  <c r="AC25" i="34"/>
  <c r="AC26" i="34" s="1"/>
  <c r="AC27" i="34" s="1"/>
  <c r="AD25" i="34"/>
  <c r="AD26" i="34" s="1"/>
  <c r="AD27" i="34" s="1"/>
  <c r="AE25" i="34"/>
  <c r="AE26" i="34" s="1"/>
  <c r="AE27" i="34" s="1"/>
  <c r="AF25" i="34"/>
  <c r="AF26" i="34" s="1"/>
  <c r="AF27" i="34" s="1"/>
  <c r="AG25" i="34"/>
  <c r="AH25" i="34"/>
  <c r="AH26" i="34" s="1"/>
  <c r="AH27" i="34" s="1"/>
  <c r="AI25" i="34"/>
  <c r="AI26" i="34" s="1"/>
  <c r="AI27" i="34" s="1"/>
  <c r="AJ25" i="34"/>
  <c r="AK25" i="34"/>
  <c r="AK26" i="34" s="1"/>
  <c r="AK27" i="34" s="1"/>
  <c r="AL25" i="34"/>
  <c r="AL26" i="34" s="1"/>
  <c r="AL27" i="34" s="1"/>
  <c r="AP4" i="34"/>
  <c r="AO4" i="34"/>
  <c r="AN4" i="34"/>
  <c r="AM4" i="34"/>
  <c r="AK25" i="39" l="1"/>
  <c r="AH25" i="39"/>
  <c r="AH26" i="39" s="1"/>
  <c r="AI25" i="39"/>
  <c r="AJ25" i="39"/>
  <c r="C25" i="38"/>
  <c r="C26" i="38" s="1"/>
  <c r="C27" i="38" s="1"/>
  <c r="D25" i="38"/>
  <c r="D26" i="38" s="1"/>
  <c r="D27" i="38" s="1"/>
  <c r="E25" i="38"/>
  <c r="E26" i="38" s="1"/>
  <c r="E27" i="38" s="1"/>
  <c r="F25" i="38"/>
  <c r="F26" i="38" s="1"/>
  <c r="F27" i="38" s="1"/>
  <c r="G25" i="38"/>
  <c r="G26" i="38" s="1"/>
  <c r="G27" i="38" s="1"/>
  <c r="H25" i="38"/>
  <c r="H26" i="38" s="1"/>
  <c r="H27" i="38" s="1"/>
  <c r="I25" i="38"/>
  <c r="J25" i="38"/>
  <c r="J26" i="38" s="1"/>
  <c r="J27" i="38" s="1"/>
  <c r="K25" i="38"/>
  <c r="K26" i="38" s="1"/>
  <c r="K27" i="38" s="1"/>
  <c r="L25" i="38"/>
  <c r="L26" i="38" s="1"/>
  <c r="L27" i="38" s="1"/>
  <c r="M25" i="38"/>
  <c r="M26" i="38" s="1"/>
  <c r="M27" i="38" s="1"/>
  <c r="N25" i="38"/>
  <c r="N26" i="38" s="1"/>
  <c r="N27" i="38" s="1"/>
  <c r="O25" i="38"/>
  <c r="O26" i="38" s="1"/>
  <c r="O27" i="38" s="1"/>
  <c r="P25" i="38"/>
  <c r="P26" i="38" s="1"/>
  <c r="P27" i="38" s="1"/>
  <c r="Q25" i="38"/>
  <c r="Q26" i="38" s="1"/>
  <c r="Q27" i="38" s="1"/>
  <c r="R25" i="38"/>
  <c r="R26" i="38" s="1"/>
  <c r="R27" i="38" s="1"/>
  <c r="S25" i="38"/>
  <c r="S26" i="38" s="1"/>
  <c r="S27" i="38" s="1"/>
  <c r="T25" i="38"/>
  <c r="T26" i="38" s="1"/>
  <c r="T27" i="38" s="1"/>
  <c r="U25" i="38"/>
  <c r="U26" i="38" s="1"/>
  <c r="U27" i="38" s="1"/>
  <c r="V25" i="38"/>
  <c r="V26" i="38" s="1"/>
  <c r="V27" i="38" s="1"/>
  <c r="W25" i="38"/>
  <c r="W26" i="38" s="1"/>
  <c r="W27" i="38" s="1"/>
  <c r="X25" i="38"/>
  <c r="X26" i="38" s="1"/>
  <c r="X27" i="38" s="1"/>
  <c r="Y25" i="38"/>
  <c r="Y26" i="38" s="1"/>
  <c r="Y27" i="38" s="1"/>
  <c r="Z25" i="38"/>
  <c r="Z26" i="38" s="1"/>
  <c r="Z27" i="38" s="1"/>
  <c r="AA25" i="38"/>
  <c r="AA26" i="38" s="1"/>
  <c r="AA27" i="38" s="1"/>
  <c r="AB25" i="38"/>
  <c r="AB26" i="38" s="1"/>
  <c r="AB27" i="38" s="1"/>
  <c r="AC25" i="38"/>
  <c r="AC26" i="38" s="1"/>
  <c r="AC27" i="38" s="1"/>
  <c r="AD25" i="38"/>
  <c r="AD26" i="38" s="1"/>
  <c r="AD27" i="38" s="1"/>
  <c r="AE25" i="38"/>
  <c r="AE26" i="38" s="1"/>
  <c r="AE27" i="38" s="1"/>
  <c r="AF25" i="38"/>
  <c r="AF26" i="38" s="1"/>
  <c r="AF27" i="38" s="1"/>
  <c r="AG25" i="38"/>
  <c r="AH25" i="38"/>
  <c r="AH26" i="38" s="1"/>
  <c r="AH27" i="38" s="1"/>
  <c r="AI25" i="38"/>
  <c r="AI26" i="38" s="1"/>
  <c r="AI27" i="38" s="1"/>
  <c r="AJ25" i="38"/>
  <c r="AJ26" i="38" s="1"/>
  <c r="AJ27" i="38" s="1"/>
  <c r="AK25" i="38"/>
  <c r="AK26" i="38" s="1"/>
  <c r="AK27" i="38" s="1"/>
  <c r="AL25" i="38"/>
  <c r="AL26" i="38" s="1"/>
  <c r="AL27" i="38" s="1"/>
  <c r="AM25" i="38"/>
  <c r="AM26" i="38" s="1"/>
  <c r="AM27" i="38" s="1"/>
  <c r="AN25" i="38"/>
  <c r="AN26" i="38" s="1"/>
  <c r="AN27" i="38" s="1"/>
  <c r="AO25" i="38"/>
  <c r="AO26" i="38" s="1"/>
  <c r="AO27" i="38" s="1"/>
  <c r="AP25" i="38"/>
  <c r="AP26" i="38" s="1"/>
  <c r="AP27" i="38" s="1"/>
  <c r="I26" i="38"/>
  <c r="I27" i="38" s="1"/>
  <c r="B58" i="38" a="1"/>
  <c r="B58" i="38" s="1"/>
  <c r="AQ4" i="38"/>
  <c r="G27" i="36"/>
  <c r="H27" i="36"/>
  <c r="M27" i="36"/>
  <c r="B58" i="37" a="1"/>
  <c r="B58" i="37" s="1"/>
  <c r="AH25" i="37"/>
  <c r="AH26" i="37" s="1"/>
  <c r="AH27" i="37" s="1"/>
  <c r="AG25" i="37"/>
  <c r="AG26" i="37" s="1"/>
  <c r="AG27" i="37" s="1"/>
  <c r="AF25" i="37"/>
  <c r="AF26" i="37" s="1"/>
  <c r="AF27" i="37" s="1"/>
  <c r="AE25" i="37"/>
  <c r="AE26" i="37" s="1"/>
  <c r="AE27" i="37" s="1"/>
  <c r="AD25" i="37"/>
  <c r="AD26" i="37" s="1"/>
  <c r="AD27" i="37" s="1"/>
  <c r="AC25" i="37"/>
  <c r="AC26" i="37" s="1"/>
  <c r="AC27" i="37" s="1"/>
  <c r="AB25" i="37"/>
  <c r="AB26" i="37" s="1"/>
  <c r="AB27" i="37" s="1"/>
  <c r="AA25" i="37"/>
  <c r="AA26" i="37" s="1"/>
  <c r="AA27" i="37" s="1"/>
  <c r="Z25" i="37"/>
  <c r="Z26" i="37" s="1"/>
  <c r="Z27" i="37" s="1"/>
  <c r="Y25" i="37"/>
  <c r="Y26" i="37" s="1"/>
  <c r="Y27" i="37" s="1"/>
  <c r="X25" i="37"/>
  <c r="X26" i="37" s="1"/>
  <c r="X27" i="37" s="1"/>
  <c r="W25" i="37"/>
  <c r="W26" i="37" s="1"/>
  <c r="W27" i="37" s="1"/>
  <c r="V25" i="37"/>
  <c r="V26" i="37" s="1"/>
  <c r="V27" i="37" s="1"/>
  <c r="U25" i="37"/>
  <c r="U26" i="37" s="1"/>
  <c r="U27" i="37" s="1"/>
  <c r="T25" i="37"/>
  <c r="T26" i="37" s="1"/>
  <c r="T27" i="37" s="1"/>
  <c r="S25" i="37"/>
  <c r="S26" i="37" s="1"/>
  <c r="S27" i="37" s="1"/>
  <c r="R25" i="37"/>
  <c r="R26" i="37" s="1"/>
  <c r="R27" i="37" s="1"/>
  <c r="Q25" i="37"/>
  <c r="Q26" i="37" s="1"/>
  <c r="Q27" i="37" s="1"/>
  <c r="O25" i="37"/>
  <c r="O26" i="37" s="1"/>
  <c r="O27" i="37" s="1"/>
  <c r="N25" i="37"/>
  <c r="N26" i="37" s="1"/>
  <c r="N27" i="37" s="1"/>
  <c r="L25" i="37"/>
  <c r="L26" i="37" s="1"/>
  <c r="L27" i="37" s="1"/>
  <c r="K25" i="37"/>
  <c r="K26" i="37" s="1"/>
  <c r="K27" i="37" s="1"/>
  <c r="J25" i="37"/>
  <c r="J26" i="37" s="1"/>
  <c r="J27" i="37" s="1"/>
  <c r="I25" i="37"/>
  <c r="I26" i="37" s="1"/>
  <c r="I27" i="37" s="1"/>
  <c r="G25" i="37"/>
  <c r="G26" i="37" s="1"/>
  <c r="G27" i="37" s="1"/>
  <c r="F25" i="37"/>
  <c r="F26" i="37" s="1"/>
  <c r="F27" i="37" s="1"/>
  <c r="E25" i="37"/>
  <c r="E26" i="37" s="1"/>
  <c r="E27" i="37" s="1"/>
  <c r="D25" i="37"/>
  <c r="D26" i="37" s="1"/>
  <c r="D27" i="37" s="1"/>
  <c r="C25" i="37"/>
  <c r="C26" i="37" s="1"/>
  <c r="C27" i="37" s="1"/>
  <c r="AK25" i="37"/>
  <c r="AJ25" i="37"/>
  <c r="AI4" i="37"/>
  <c r="AI26" i="36"/>
  <c r="AI27" i="36" s="1"/>
  <c r="AI25" i="36"/>
  <c r="AM5" i="36"/>
  <c r="AM6" i="36"/>
  <c r="AM7" i="36"/>
  <c r="AM8" i="36"/>
  <c r="AM9" i="36"/>
  <c r="AM10" i="36"/>
  <c r="AM11" i="36"/>
  <c r="AM12" i="36"/>
  <c r="AM13" i="36"/>
  <c r="AM14" i="36"/>
  <c r="AM15" i="36"/>
  <c r="AM16" i="36"/>
  <c r="AM17" i="36"/>
  <c r="AM18" i="36"/>
  <c r="AM19" i="36"/>
  <c r="AM20" i="36"/>
  <c r="AM21" i="36"/>
  <c r="AM22" i="36"/>
  <c r="AM23" i="36"/>
  <c r="AM24" i="36"/>
  <c r="AL5" i="36"/>
  <c r="AL6" i="36"/>
  <c r="AL7" i="36"/>
  <c r="AL8" i="36"/>
  <c r="AL9" i="36"/>
  <c r="AL10" i="36"/>
  <c r="AL11" i="36"/>
  <c r="AL12" i="36"/>
  <c r="AL13" i="36"/>
  <c r="AL14" i="36"/>
  <c r="AL15" i="36"/>
  <c r="AL16" i="36"/>
  <c r="AL17" i="36"/>
  <c r="AL18" i="36"/>
  <c r="AL19" i="36"/>
  <c r="AL20" i="36"/>
  <c r="AL21" i="36"/>
  <c r="AL22" i="36"/>
  <c r="AL23" i="36"/>
  <c r="AL24" i="36"/>
  <c r="AK5" i="36"/>
  <c r="AK6" i="36"/>
  <c r="AK7" i="36"/>
  <c r="AK8" i="36"/>
  <c r="AK9" i="36"/>
  <c r="AK10" i="36"/>
  <c r="AK11" i="36"/>
  <c r="AK12" i="36"/>
  <c r="AK13" i="36"/>
  <c r="AK14" i="36"/>
  <c r="AK15" i="36"/>
  <c r="AK16" i="36"/>
  <c r="AK17" i="36"/>
  <c r="AK18" i="36"/>
  <c r="AK19" i="36"/>
  <c r="AK20" i="36"/>
  <c r="AK21" i="36"/>
  <c r="AK22" i="36"/>
  <c r="AK23" i="36"/>
  <c r="AK24" i="36"/>
  <c r="AJ5" i="36"/>
  <c r="AJ6" i="36"/>
  <c r="AJ7" i="36"/>
  <c r="AJ8" i="36"/>
  <c r="AJ9" i="36"/>
  <c r="AJ10" i="36"/>
  <c r="AJ11" i="36"/>
  <c r="AJ12" i="36"/>
  <c r="AJ13" i="36"/>
  <c r="AJ14" i="36"/>
  <c r="AJ15" i="36"/>
  <c r="AJ16" i="36"/>
  <c r="AJ17" i="36"/>
  <c r="AJ18" i="36"/>
  <c r="AJ19" i="36"/>
  <c r="AJ20" i="36"/>
  <c r="AJ21" i="36"/>
  <c r="AJ22" i="36"/>
  <c r="AJ23" i="36"/>
  <c r="AJ24" i="36"/>
  <c r="AK4" i="36"/>
  <c r="AL4" i="36"/>
  <c r="AM4" i="36"/>
  <c r="AJ4" i="36"/>
  <c r="B58" i="36" a="1"/>
  <c r="B58" i="36" s="1"/>
  <c r="AH25" i="36"/>
  <c r="AH26" i="36" s="1"/>
  <c r="AH27" i="36" s="1"/>
  <c r="AG25" i="36"/>
  <c r="AG26" i="36" s="1"/>
  <c r="AG27" i="36" s="1"/>
  <c r="AF25" i="36"/>
  <c r="AF26" i="36" s="1"/>
  <c r="AF27" i="36" s="1"/>
  <c r="AE25" i="36"/>
  <c r="AE26" i="36" s="1"/>
  <c r="AE27" i="36" s="1"/>
  <c r="AD25" i="36"/>
  <c r="AD26" i="36" s="1"/>
  <c r="AD27" i="36" s="1"/>
  <c r="AC25" i="36"/>
  <c r="AC26" i="36" s="1"/>
  <c r="AC27" i="36" s="1"/>
  <c r="AB25" i="36"/>
  <c r="AB26" i="36" s="1"/>
  <c r="AB27" i="36" s="1"/>
  <c r="AA25" i="36"/>
  <c r="AA26" i="36" s="1"/>
  <c r="AA27" i="36" s="1"/>
  <c r="Z25" i="36"/>
  <c r="Z26" i="36" s="1"/>
  <c r="Z27" i="36" s="1"/>
  <c r="Y25" i="36"/>
  <c r="Y26" i="36" s="1"/>
  <c r="Y27" i="36" s="1"/>
  <c r="X25" i="36"/>
  <c r="X26" i="36" s="1"/>
  <c r="X27" i="36" s="1"/>
  <c r="W25" i="36"/>
  <c r="W26" i="36" s="1"/>
  <c r="W27" i="36" s="1"/>
  <c r="V25" i="36"/>
  <c r="V26" i="36" s="1"/>
  <c r="V27" i="36" s="1"/>
  <c r="U25" i="36"/>
  <c r="U26" i="36" s="1"/>
  <c r="U27" i="36" s="1"/>
  <c r="T25" i="36"/>
  <c r="T26" i="36" s="1"/>
  <c r="T27" i="36" s="1"/>
  <c r="S25" i="36"/>
  <c r="S26" i="36" s="1"/>
  <c r="S27" i="36" s="1"/>
  <c r="R25" i="36"/>
  <c r="R26" i="36" s="1"/>
  <c r="R27" i="36" s="1"/>
  <c r="Q25" i="36"/>
  <c r="Q26" i="36" s="1"/>
  <c r="Q27" i="36" s="1"/>
  <c r="P25" i="36"/>
  <c r="P26" i="36" s="1"/>
  <c r="P27" i="36" s="1"/>
  <c r="O25" i="36"/>
  <c r="O26" i="36" s="1"/>
  <c r="O27" i="36" s="1"/>
  <c r="N25" i="36"/>
  <c r="N26" i="36" s="1"/>
  <c r="N27" i="36" s="1"/>
  <c r="L25" i="36"/>
  <c r="L26" i="36" s="1"/>
  <c r="L27" i="36" s="1"/>
  <c r="K25" i="36"/>
  <c r="K26" i="36" s="1"/>
  <c r="K27" i="36" s="1"/>
  <c r="J25" i="36"/>
  <c r="J26" i="36" s="1"/>
  <c r="J27" i="36" s="1"/>
  <c r="I25" i="36"/>
  <c r="I26" i="36" s="1"/>
  <c r="I27" i="36" s="1"/>
  <c r="G25" i="36"/>
  <c r="G26" i="36" s="1"/>
  <c r="F25" i="36"/>
  <c r="F26" i="36" s="1"/>
  <c r="F27" i="36" s="1"/>
  <c r="E25" i="36"/>
  <c r="E26" i="36" s="1"/>
  <c r="E27" i="36" s="1"/>
  <c r="D25" i="36"/>
  <c r="D26" i="36" s="1"/>
  <c r="D27" i="36" s="1"/>
  <c r="C25" i="36"/>
  <c r="C26" i="36" s="1"/>
  <c r="C27" i="36" s="1"/>
  <c r="B58" i="34" a="1"/>
  <c r="B58" i="34" s="1"/>
  <c r="D25" i="34"/>
  <c r="D26" i="34" s="1"/>
  <c r="D27" i="34" s="1"/>
  <c r="AP24" i="34"/>
  <c r="AO24" i="34"/>
  <c r="AN24" i="34"/>
  <c r="AM24" i="34"/>
  <c r="AP23" i="34"/>
  <c r="AO23" i="34"/>
  <c r="AN23" i="34"/>
  <c r="AM23" i="34"/>
  <c r="AP22" i="34"/>
  <c r="AO22" i="34"/>
  <c r="AN22" i="34"/>
  <c r="AM22" i="34"/>
  <c r="AP21" i="34"/>
  <c r="AO21" i="34"/>
  <c r="AN21" i="34"/>
  <c r="AM21" i="34"/>
  <c r="AP20" i="34"/>
  <c r="AO20" i="34"/>
  <c r="AN20" i="34"/>
  <c r="AM20" i="34"/>
  <c r="AP19" i="34"/>
  <c r="AO19" i="34"/>
  <c r="AN19" i="34"/>
  <c r="AM19" i="34"/>
  <c r="AP18" i="34"/>
  <c r="AO18" i="34"/>
  <c r="AN18" i="34"/>
  <c r="AM18" i="34"/>
  <c r="AP17" i="34"/>
  <c r="AO17" i="34"/>
  <c r="AN17" i="34"/>
  <c r="AM17" i="34"/>
  <c r="AP16" i="34"/>
  <c r="AO16" i="34"/>
  <c r="AN16" i="34"/>
  <c r="AM16" i="34"/>
  <c r="AP15" i="34"/>
  <c r="AO15" i="34"/>
  <c r="AN15" i="34"/>
  <c r="AM15" i="34"/>
  <c r="AP14" i="34"/>
  <c r="AO14" i="34"/>
  <c r="AN14" i="34"/>
  <c r="AM14" i="34"/>
  <c r="AP13" i="34"/>
  <c r="AO13" i="34"/>
  <c r="AN13" i="34"/>
  <c r="AM13" i="34"/>
  <c r="AP12" i="34"/>
  <c r="AO12" i="34"/>
  <c r="AN12" i="34"/>
  <c r="AM12" i="34"/>
  <c r="AP11" i="34"/>
  <c r="AO11" i="34"/>
  <c r="AN11" i="34"/>
  <c r="AM11" i="34"/>
  <c r="AP10" i="34"/>
  <c r="AO10" i="34"/>
  <c r="AN10" i="34"/>
  <c r="AM10" i="34"/>
  <c r="AP9" i="34"/>
  <c r="AO9" i="34"/>
  <c r="AN9" i="34"/>
  <c r="AM9" i="34"/>
  <c r="AP8" i="34"/>
  <c r="AO8" i="34"/>
  <c r="AN8" i="34"/>
  <c r="AM8" i="34"/>
  <c r="AP7" i="34"/>
  <c r="AO7" i="34"/>
  <c r="AN7" i="34"/>
  <c r="AM7" i="34"/>
  <c r="AP6" i="34"/>
  <c r="AO6" i="34"/>
  <c r="AN6" i="34"/>
  <c r="AM6" i="34"/>
  <c r="AP5" i="34"/>
  <c r="AO5" i="34"/>
  <c r="AN5" i="34"/>
  <c r="AM5" i="34"/>
  <c r="AM25" i="34" s="1"/>
  <c r="B58" i="33" a="1"/>
  <c r="B58" i="33" s="1"/>
  <c r="AI25" i="33"/>
  <c r="AI26" i="33" s="1"/>
  <c r="AI27" i="33" s="1"/>
  <c r="AH25" i="33"/>
  <c r="AH26" i="33" s="1"/>
  <c r="AH27" i="33" s="1"/>
  <c r="AG25" i="33"/>
  <c r="AG26" i="33" s="1"/>
  <c r="AG27" i="33" s="1"/>
  <c r="AF25" i="33"/>
  <c r="AF26" i="33" s="1"/>
  <c r="AF27" i="33" s="1"/>
  <c r="AE25" i="33"/>
  <c r="AE26" i="33" s="1"/>
  <c r="AE27" i="33" s="1"/>
  <c r="AD25" i="33"/>
  <c r="AD26" i="33" s="1"/>
  <c r="AD27" i="33" s="1"/>
  <c r="AC25" i="33"/>
  <c r="AC26" i="33" s="1"/>
  <c r="AC27" i="33" s="1"/>
  <c r="AB25" i="33"/>
  <c r="AB26" i="33" s="1"/>
  <c r="AB27" i="33" s="1"/>
  <c r="AA25" i="33"/>
  <c r="AA26" i="33" s="1"/>
  <c r="AA27" i="33" s="1"/>
  <c r="Z25" i="33"/>
  <c r="Z26" i="33" s="1"/>
  <c r="Z27" i="33" s="1"/>
  <c r="Y25" i="33"/>
  <c r="Y26" i="33" s="1"/>
  <c r="Y27" i="33" s="1"/>
  <c r="X25" i="33"/>
  <c r="X26" i="33" s="1"/>
  <c r="X27" i="33" s="1"/>
  <c r="W25" i="33"/>
  <c r="W26" i="33" s="1"/>
  <c r="W27" i="33" s="1"/>
  <c r="V25" i="33"/>
  <c r="V26" i="33" s="1"/>
  <c r="V27" i="33" s="1"/>
  <c r="U25" i="33"/>
  <c r="U26" i="33" s="1"/>
  <c r="U27" i="33" s="1"/>
  <c r="T25" i="33"/>
  <c r="T26" i="33" s="1"/>
  <c r="T27" i="33" s="1"/>
  <c r="S25" i="33"/>
  <c r="S26" i="33" s="1"/>
  <c r="S27" i="33" s="1"/>
  <c r="R25" i="33"/>
  <c r="R26" i="33" s="1"/>
  <c r="R27" i="33" s="1"/>
  <c r="Q25" i="33"/>
  <c r="Q26" i="33" s="1"/>
  <c r="Q27" i="33" s="1"/>
  <c r="P25" i="33"/>
  <c r="P26" i="33" s="1"/>
  <c r="P27" i="33" s="1"/>
  <c r="O25" i="33"/>
  <c r="O26" i="33" s="1"/>
  <c r="O27" i="33" s="1"/>
  <c r="N25" i="33"/>
  <c r="N26" i="33" s="1"/>
  <c r="N27" i="33" s="1"/>
  <c r="M25" i="33"/>
  <c r="M26" i="33" s="1"/>
  <c r="M27" i="33" s="1"/>
  <c r="L25" i="33"/>
  <c r="L26" i="33" s="1"/>
  <c r="L27" i="33" s="1"/>
  <c r="K25" i="33"/>
  <c r="K26" i="33" s="1"/>
  <c r="K27" i="33" s="1"/>
  <c r="J25" i="33"/>
  <c r="J26" i="33" s="1"/>
  <c r="J27" i="33" s="1"/>
  <c r="I25" i="33"/>
  <c r="I26" i="33" s="1"/>
  <c r="I27" i="33" s="1"/>
  <c r="H25" i="33"/>
  <c r="H26" i="33" s="1"/>
  <c r="H27" i="33" s="1"/>
  <c r="G25" i="33"/>
  <c r="G26" i="33" s="1"/>
  <c r="G27" i="33" s="1"/>
  <c r="F25" i="33"/>
  <c r="F26" i="33" s="1"/>
  <c r="F27" i="33" s="1"/>
  <c r="E25" i="33"/>
  <c r="E26" i="33" s="1"/>
  <c r="E27" i="33" s="1"/>
  <c r="D25" i="33"/>
  <c r="D26" i="33" s="1"/>
  <c r="D27" i="33" s="1"/>
  <c r="C25" i="33"/>
  <c r="C26" i="33" s="1"/>
  <c r="C27" i="33" s="1"/>
  <c r="AM24" i="33"/>
  <c r="AL24" i="33"/>
  <c r="AK24" i="33"/>
  <c r="AJ24" i="33"/>
  <c r="AM23" i="33"/>
  <c r="AL23" i="33"/>
  <c r="AK23" i="33"/>
  <c r="AJ23" i="33"/>
  <c r="AM22" i="33"/>
  <c r="AL22" i="33"/>
  <c r="AK22" i="33"/>
  <c r="AJ22" i="33"/>
  <c r="AM21" i="33"/>
  <c r="AL21" i="33"/>
  <c r="AK21" i="33"/>
  <c r="AJ21" i="33"/>
  <c r="AM20" i="33"/>
  <c r="AL20" i="33"/>
  <c r="AK20" i="33"/>
  <c r="AJ20" i="33"/>
  <c r="AM19" i="33"/>
  <c r="AL19" i="33"/>
  <c r="AK19" i="33"/>
  <c r="AJ19" i="33"/>
  <c r="AM18" i="33"/>
  <c r="AL18" i="33"/>
  <c r="AK18" i="33"/>
  <c r="AJ18" i="33"/>
  <c r="AM17" i="33"/>
  <c r="AL17" i="33"/>
  <c r="AK17" i="33"/>
  <c r="AJ17" i="33"/>
  <c r="AM16" i="33"/>
  <c r="AL16" i="33"/>
  <c r="AK16" i="33"/>
  <c r="AJ16" i="33"/>
  <c r="AM15" i="33"/>
  <c r="AL15" i="33"/>
  <c r="AK15" i="33"/>
  <c r="AJ15" i="33"/>
  <c r="AM14" i="33"/>
  <c r="AL14" i="33"/>
  <c r="AK14" i="33"/>
  <c r="AJ14" i="33"/>
  <c r="AM13" i="33"/>
  <c r="AL13" i="33"/>
  <c r="AK13" i="33"/>
  <c r="AJ13" i="33"/>
  <c r="AM12" i="33"/>
  <c r="AL12" i="33"/>
  <c r="AK12" i="33"/>
  <c r="AJ12" i="33"/>
  <c r="AM11" i="33"/>
  <c r="AL11" i="33"/>
  <c r="AK11" i="33"/>
  <c r="AJ11" i="33"/>
  <c r="AM10" i="33"/>
  <c r="AL10" i="33"/>
  <c r="AK10" i="33"/>
  <c r="AJ10" i="33"/>
  <c r="AM9" i="33"/>
  <c r="AL9" i="33"/>
  <c r="AK9" i="33"/>
  <c r="AJ9" i="33"/>
  <c r="AM8" i="33"/>
  <c r="AL8" i="33"/>
  <c r="AK8" i="33"/>
  <c r="AJ8" i="33"/>
  <c r="AM7" i="33"/>
  <c r="AL7" i="33"/>
  <c r="AK7" i="33"/>
  <c r="AJ7" i="33"/>
  <c r="AM6" i="33"/>
  <c r="AL6" i="33"/>
  <c r="AK6" i="33"/>
  <c r="AJ6" i="33"/>
  <c r="AM5" i="33"/>
  <c r="AM25" i="33" s="1"/>
  <c r="AL5" i="33"/>
  <c r="AK5" i="33"/>
  <c r="AK25" i="33" s="1"/>
  <c r="AJ5" i="33"/>
  <c r="AM4" i="33"/>
  <c r="AL4" i="33"/>
  <c r="AK4" i="33"/>
  <c r="AJ4" i="33"/>
  <c r="AJ26" i="21"/>
  <c r="AJ27" i="21" s="1"/>
  <c r="AH25" i="21"/>
  <c r="AH26" i="21" s="1"/>
  <c r="AH27" i="21" s="1"/>
  <c r="AI25" i="21"/>
  <c r="AI26" i="21" s="1"/>
  <c r="AI27" i="21" s="1"/>
  <c r="AJ25" i="21"/>
  <c r="AN5" i="21"/>
  <c r="AN25" i="21" s="1"/>
  <c r="AN6" i="21"/>
  <c r="AN7" i="21"/>
  <c r="AN8" i="21"/>
  <c r="AN9" i="21"/>
  <c r="AN10" i="21"/>
  <c r="AN11" i="21"/>
  <c r="AN12" i="21"/>
  <c r="AN13" i="21"/>
  <c r="AN14" i="21"/>
  <c r="AN15" i="21"/>
  <c r="AN16" i="21"/>
  <c r="AN17" i="21"/>
  <c r="AN18" i="21"/>
  <c r="AN19" i="21"/>
  <c r="AN20" i="21"/>
  <c r="AN21" i="21"/>
  <c r="AN22" i="21"/>
  <c r="AN23" i="21"/>
  <c r="AN24" i="21"/>
  <c r="AM5" i="21"/>
  <c r="AM6" i="21"/>
  <c r="AM7" i="21"/>
  <c r="AM8" i="21"/>
  <c r="AM9" i="21"/>
  <c r="AM10" i="21"/>
  <c r="AM11" i="21"/>
  <c r="AM12" i="21"/>
  <c r="AM13" i="21"/>
  <c r="AM14" i="21"/>
  <c r="AM15" i="21"/>
  <c r="AM16" i="21"/>
  <c r="AM17" i="21"/>
  <c r="AM18" i="21"/>
  <c r="AM19" i="21"/>
  <c r="AM20" i="21"/>
  <c r="AM21" i="21"/>
  <c r="AM22" i="21"/>
  <c r="AM23" i="21"/>
  <c r="AM24" i="21"/>
  <c r="AL5" i="21"/>
  <c r="AL25" i="21" s="1"/>
  <c r="AL6" i="21"/>
  <c r="AL7" i="21"/>
  <c r="AL8" i="21"/>
  <c r="AL9" i="21"/>
  <c r="AL10" i="21"/>
  <c r="AL11" i="21"/>
  <c r="AL12" i="21"/>
  <c r="AL13" i="21"/>
  <c r="AL14" i="21"/>
  <c r="AL15" i="21"/>
  <c r="AL16" i="21"/>
  <c r="AL17" i="21"/>
  <c r="AL18" i="21"/>
  <c r="AL19" i="21"/>
  <c r="AL20" i="21"/>
  <c r="AL21" i="21"/>
  <c r="AL22" i="21"/>
  <c r="AL23" i="21"/>
  <c r="AL24" i="21"/>
  <c r="AK5" i="21"/>
  <c r="AK6" i="21"/>
  <c r="AK7" i="21"/>
  <c r="AK8" i="21"/>
  <c r="AK9" i="21"/>
  <c r="AK10" i="21"/>
  <c r="AK11" i="21"/>
  <c r="AK12" i="21"/>
  <c r="AK13" i="21"/>
  <c r="AK14" i="21"/>
  <c r="AK15" i="21"/>
  <c r="AK16" i="21"/>
  <c r="AK17" i="21"/>
  <c r="AK18" i="21"/>
  <c r="AK19" i="21"/>
  <c r="AK20" i="21"/>
  <c r="AK21" i="21"/>
  <c r="AK22" i="21"/>
  <c r="AK23" i="21"/>
  <c r="AK24" i="21"/>
  <c r="AK4" i="21"/>
  <c r="AN4" i="21"/>
  <c r="AM4" i="21"/>
  <c r="AL4" i="21"/>
  <c r="M25" i="21"/>
  <c r="M26" i="21" s="1"/>
  <c r="M27" i="21" s="1"/>
  <c r="AK5" i="22"/>
  <c r="AK6" i="22"/>
  <c r="AK7" i="22"/>
  <c r="AK8" i="22"/>
  <c r="AK9" i="22"/>
  <c r="AK10" i="22"/>
  <c r="AK11" i="22"/>
  <c r="AK12" i="22"/>
  <c r="AK13" i="22"/>
  <c r="AK14" i="22"/>
  <c r="AK15" i="22"/>
  <c r="AK16" i="22"/>
  <c r="AK17" i="22"/>
  <c r="AK18" i="22"/>
  <c r="AK19" i="22"/>
  <c r="AK20" i="22"/>
  <c r="AK21" i="22"/>
  <c r="AK22" i="22"/>
  <c r="AK23" i="22"/>
  <c r="AK24" i="22"/>
  <c r="AJ5" i="22"/>
  <c r="AJ6" i="22"/>
  <c r="AJ7" i="22"/>
  <c r="AJ8" i="22"/>
  <c r="AJ9" i="22"/>
  <c r="AJ10" i="22"/>
  <c r="AJ11" i="22"/>
  <c r="AJ12" i="22"/>
  <c r="AJ13" i="22"/>
  <c r="AJ14" i="22"/>
  <c r="AJ15" i="22"/>
  <c r="AJ16" i="22"/>
  <c r="AJ17" i="22"/>
  <c r="AJ18" i="22"/>
  <c r="AJ19" i="22"/>
  <c r="AJ20" i="22"/>
  <c r="AJ21" i="22"/>
  <c r="AJ22" i="22"/>
  <c r="AJ23" i="22"/>
  <c r="AJ24" i="22"/>
  <c r="AI5" i="22"/>
  <c r="AI6" i="22"/>
  <c r="AI7" i="22"/>
  <c r="AI8" i="22"/>
  <c r="AI9" i="22"/>
  <c r="AI10" i="22"/>
  <c r="AI11" i="22"/>
  <c r="AI12" i="22"/>
  <c r="AI13" i="22"/>
  <c r="AI14" i="22"/>
  <c r="AI15" i="22"/>
  <c r="AI16" i="22"/>
  <c r="AI17" i="22"/>
  <c r="AI18" i="22"/>
  <c r="AI19" i="22"/>
  <c r="AI20" i="22"/>
  <c r="AI21" i="22"/>
  <c r="AI22" i="22"/>
  <c r="AI23" i="22"/>
  <c r="AI24" i="22"/>
  <c r="AD25" i="22"/>
  <c r="AD26" i="22" s="1"/>
  <c r="AE25" i="22"/>
  <c r="AE26" i="22" s="1"/>
  <c r="AF25" i="22"/>
  <c r="AF26" i="22" s="1"/>
  <c r="AG25" i="22"/>
  <c r="AG26" i="22" s="1"/>
  <c r="AH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4" i="22"/>
  <c r="AK4" i="22"/>
  <c r="AJ4" i="22"/>
  <c r="AI4" i="22"/>
  <c r="AG26" i="23"/>
  <c r="AG27" i="23" s="1"/>
  <c r="AF25" i="23"/>
  <c r="AF26" i="23" s="1"/>
  <c r="AF27" i="23" s="1"/>
  <c r="AG25" i="23"/>
  <c r="AH25" i="23"/>
  <c r="AH26" i="23" s="1"/>
  <c r="AH27" i="23" s="1"/>
  <c r="AM5" i="23"/>
  <c r="AM6" i="23"/>
  <c r="AM7" i="23"/>
  <c r="AM8" i="23"/>
  <c r="AM9" i="23"/>
  <c r="AM10" i="23"/>
  <c r="AM11" i="23"/>
  <c r="AM12" i="23"/>
  <c r="AM13" i="23"/>
  <c r="AM14" i="23"/>
  <c r="AM15" i="23"/>
  <c r="AM16" i="23"/>
  <c r="AM17" i="23"/>
  <c r="AM18" i="23"/>
  <c r="AM19" i="23"/>
  <c r="AM20" i="23"/>
  <c r="AM21" i="23"/>
  <c r="AM22" i="23"/>
  <c r="AM23" i="23"/>
  <c r="AM24" i="23"/>
  <c r="AL5" i="23"/>
  <c r="AL6" i="23"/>
  <c r="AL7" i="23"/>
  <c r="AL8" i="23"/>
  <c r="AL9" i="23"/>
  <c r="AL10" i="23"/>
  <c r="AL11" i="23"/>
  <c r="AL12" i="23"/>
  <c r="AL13" i="23"/>
  <c r="AL14" i="23"/>
  <c r="AL15" i="23"/>
  <c r="AL16" i="23"/>
  <c r="AL17" i="23"/>
  <c r="AL18" i="23"/>
  <c r="AL19" i="23"/>
  <c r="AL20" i="23"/>
  <c r="AL21" i="23"/>
  <c r="AL22" i="23"/>
  <c r="AL23" i="23"/>
  <c r="AL24" i="23"/>
  <c r="AK5" i="23"/>
  <c r="AK6" i="23"/>
  <c r="AK7" i="23"/>
  <c r="AK8" i="23"/>
  <c r="AK9" i="23"/>
  <c r="AK10" i="23"/>
  <c r="AK11" i="23"/>
  <c r="AK12" i="23"/>
  <c r="AK13" i="23"/>
  <c r="AK14" i="23"/>
  <c r="AK15" i="23"/>
  <c r="AK16" i="23"/>
  <c r="AK17" i="23"/>
  <c r="AK18" i="23"/>
  <c r="AK19" i="23"/>
  <c r="AK20" i="23"/>
  <c r="AK21" i="23"/>
  <c r="AK22" i="23"/>
  <c r="AK23" i="23"/>
  <c r="AK24" i="23"/>
  <c r="AM4" i="23"/>
  <c r="AL4" i="23"/>
  <c r="AK4" i="23"/>
  <c r="AI5" i="24"/>
  <c r="AI6" i="24"/>
  <c r="AI7" i="24"/>
  <c r="AI8" i="24"/>
  <c r="AI9" i="24"/>
  <c r="AI10" i="24"/>
  <c r="AI11" i="24"/>
  <c r="AI12" i="24"/>
  <c r="AI13" i="24"/>
  <c r="AI14" i="24"/>
  <c r="AI15" i="24"/>
  <c r="AI16" i="24"/>
  <c r="AI17" i="24"/>
  <c r="AI18" i="24"/>
  <c r="AI19" i="24"/>
  <c r="AI20" i="24"/>
  <c r="AI21" i="24"/>
  <c r="AI22" i="24"/>
  <c r="AI23" i="24"/>
  <c r="AI24" i="24"/>
  <c r="AH5" i="24"/>
  <c r="AH6" i="24"/>
  <c r="AH7" i="24"/>
  <c r="AH8" i="24"/>
  <c r="AH9" i="24"/>
  <c r="AH10" i="24"/>
  <c r="AH11" i="24"/>
  <c r="AH12" i="24"/>
  <c r="AH13" i="24"/>
  <c r="AH14" i="24"/>
  <c r="AH15" i="24"/>
  <c r="AH16" i="24"/>
  <c r="AH17" i="24"/>
  <c r="AH18" i="24"/>
  <c r="AH19" i="24"/>
  <c r="AH20" i="24"/>
  <c r="AH21" i="24"/>
  <c r="AH22" i="24"/>
  <c r="AH23" i="24"/>
  <c r="AH24" i="24"/>
  <c r="AG5" i="24"/>
  <c r="AG6" i="24"/>
  <c r="AG7" i="24"/>
  <c r="AG8" i="24"/>
  <c r="AG9" i="24"/>
  <c r="AG10" i="24"/>
  <c r="AG11" i="24"/>
  <c r="AG12" i="24"/>
  <c r="AG13" i="24"/>
  <c r="AG14" i="24"/>
  <c r="AG15" i="24"/>
  <c r="AG16" i="24"/>
  <c r="AG17" i="24"/>
  <c r="AG18" i="24"/>
  <c r="AG19" i="24"/>
  <c r="AG20" i="24"/>
  <c r="AG21" i="24"/>
  <c r="AG22" i="24"/>
  <c r="AG23" i="24"/>
  <c r="AG24" i="24"/>
  <c r="Y25" i="24"/>
  <c r="Y26" i="24" s="1"/>
  <c r="Y27" i="24" s="1"/>
  <c r="AG4" i="24"/>
  <c r="B58" i="24" a="1"/>
  <c r="B58" i="24" s="1"/>
  <c r="AE25" i="24"/>
  <c r="AE26" i="24" s="1"/>
  <c r="AE27" i="24" s="1"/>
  <c r="AD25" i="24"/>
  <c r="AD26" i="24" s="1"/>
  <c r="AD27" i="24" s="1"/>
  <c r="AC25" i="24"/>
  <c r="AC26" i="24" s="1"/>
  <c r="AC27" i="24" s="1"/>
  <c r="AB25" i="24"/>
  <c r="AB26" i="24" s="1"/>
  <c r="AB27" i="24" s="1"/>
  <c r="AA25" i="24"/>
  <c r="AA26" i="24" s="1"/>
  <c r="AA27" i="24" s="1"/>
  <c r="Z25" i="24"/>
  <c r="Z26" i="24" s="1"/>
  <c r="Z27" i="24" s="1"/>
  <c r="X25" i="24"/>
  <c r="X26" i="24" s="1"/>
  <c r="X27" i="24" s="1"/>
  <c r="W25" i="24"/>
  <c r="W26" i="24" s="1"/>
  <c r="W27" i="24" s="1"/>
  <c r="V25" i="24"/>
  <c r="V26" i="24" s="1"/>
  <c r="V27" i="24" s="1"/>
  <c r="U25" i="24"/>
  <c r="U26" i="24" s="1"/>
  <c r="U27" i="24" s="1"/>
  <c r="T25" i="24"/>
  <c r="T26" i="24" s="1"/>
  <c r="T27" i="24" s="1"/>
  <c r="S25" i="24"/>
  <c r="S26" i="24" s="1"/>
  <c r="S27" i="24" s="1"/>
  <c r="R25" i="24"/>
  <c r="R26" i="24" s="1"/>
  <c r="R27" i="24" s="1"/>
  <c r="Q25" i="24"/>
  <c r="Q26" i="24" s="1"/>
  <c r="Q27" i="24" s="1"/>
  <c r="P25" i="24"/>
  <c r="P26" i="24" s="1"/>
  <c r="P27" i="24" s="1"/>
  <c r="O25" i="24"/>
  <c r="O26" i="24" s="1"/>
  <c r="O27" i="24" s="1"/>
  <c r="N25" i="24"/>
  <c r="N26" i="24" s="1"/>
  <c r="N27" i="24" s="1"/>
  <c r="M25" i="24"/>
  <c r="M26" i="24" s="1"/>
  <c r="M27" i="24" s="1"/>
  <c r="L25" i="24"/>
  <c r="L26" i="24" s="1"/>
  <c r="L27" i="24" s="1"/>
  <c r="K25" i="24"/>
  <c r="K26" i="24" s="1"/>
  <c r="K27" i="24" s="1"/>
  <c r="J25" i="24"/>
  <c r="J26" i="24" s="1"/>
  <c r="J27" i="24" s="1"/>
  <c r="I25" i="24"/>
  <c r="I26" i="24" s="1"/>
  <c r="I27" i="24" s="1"/>
  <c r="H25" i="24"/>
  <c r="H26" i="24" s="1"/>
  <c r="H27" i="24" s="1"/>
  <c r="G25" i="24"/>
  <c r="G26" i="24" s="1"/>
  <c r="G27" i="24" s="1"/>
  <c r="F25" i="24"/>
  <c r="F26" i="24" s="1"/>
  <c r="F27" i="24" s="1"/>
  <c r="E25" i="24"/>
  <c r="E26" i="24" s="1"/>
  <c r="E27" i="24" s="1"/>
  <c r="D25" i="24"/>
  <c r="D26" i="24" s="1"/>
  <c r="D27" i="24" s="1"/>
  <c r="C25" i="24"/>
  <c r="C26" i="24" s="1"/>
  <c r="C27" i="24" s="1"/>
  <c r="AF24" i="24"/>
  <c r="AF23" i="24"/>
  <c r="AF22" i="24"/>
  <c r="AF21" i="24"/>
  <c r="AF20" i="24"/>
  <c r="AF19" i="24"/>
  <c r="AF18" i="24"/>
  <c r="AF17" i="24"/>
  <c r="AF16" i="24"/>
  <c r="AF15" i="24"/>
  <c r="AF14" i="24"/>
  <c r="AF13" i="24"/>
  <c r="AF12" i="24"/>
  <c r="AF11" i="24"/>
  <c r="AF10" i="24"/>
  <c r="AF9" i="24"/>
  <c r="AF8" i="24"/>
  <c r="AF7" i="24"/>
  <c r="AF6" i="24"/>
  <c r="AF5" i="24"/>
  <c r="AF4" i="24"/>
  <c r="B58" i="23" a="1"/>
  <c r="B58" i="23" s="1"/>
  <c r="AI25" i="23"/>
  <c r="AI26" i="23" s="1"/>
  <c r="AI27" i="23" s="1"/>
  <c r="AE25" i="23"/>
  <c r="AE26" i="23" s="1"/>
  <c r="AE27" i="23" s="1"/>
  <c r="AD25" i="23"/>
  <c r="AD26" i="23" s="1"/>
  <c r="AD27" i="23" s="1"/>
  <c r="AC25" i="23"/>
  <c r="AC26" i="23" s="1"/>
  <c r="AC27" i="23" s="1"/>
  <c r="AB25" i="23"/>
  <c r="AB26" i="23" s="1"/>
  <c r="AB27" i="23" s="1"/>
  <c r="AA25" i="23"/>
  <c r="AA26" i="23" s="1"/>
  <c r="AA27" i="23" s="1"/>
  <c r="Z25" i="23"/>
  <c r="Z26" i="23" s="1"/>
  <c r="Z27" i="23" s="1"/>
  <c r="Y25" i="23"/>
  <c r="Y26" i="23" s="1"/>
  <c r="Y27" i="23" s="1"/>
  <c r="X25" i="23"/>
  <c r="X26" i="23" s="1"/>
  <c r="X27" i="23" s="1"/>
  <c r="W25" i="23"/>
  <c r="W26" i="23" s="1"/>
  <c r="W27" i="23" s="1"/>
  <c r="V25" i="23"/>
  <c r="V26" i="23" s="1"/>
  <c r="V27" i="23" s="1"/>
  <c r="U25" i="23"/>
  <c r="U26" i="23" s="1"/>
  <c r="U27" i="23" s="1"/>
  <c r="T25" i="23"/>
  <c r="T26" i="23" s="1"/>
  <c r="T27" i="23" s="1"/>
  <c r="S25" i="23"/>
  <c r="S26" i="23" s="1"/>
  <c r="S27" i="23" s="1"/>
  <c r="R25" i="23"/>
  <c r="R26" i="23" s="1"/>
  <c r="R27" i="23" s="1"/>
  <c r="Q25" i="23"/>
  <c r="Q26" i="23" s="1"/>
  <c r="Q27" i="23" s="1"/>
  <c r="P25" i="23"/>
  <c r="P26" i="23" s="1"/>
  <c r="P27" i="23" s="1"/>
  <c r="O25" i="23"/>
  <c r="O26" i="23" s="1"/>
  <c r="O27" i="23" s="1"/>
  <c r="N25" i="23"/>
  <c r="N26" i="23" s="1"/>
  <c r="N27" i="23" s="1"/>
  <c r="M25" i="23"/>
  <c r="M26" i="23" s="1"/>
  <c r="M27" i="23" s="1"/>
  <c r="L25" i="23"/>
  <c r="L26" i="23" s="1"/>
  <c r="L27" i="23" s="1"/>
  <c r="K25" i="23"/>
  <c r="K26" i="23" s="1"/>
  <c r="K27" i="23" s="1"/>
  <c r="J25" i="23"/>
  <c r="J26" i="23" s="1"/>
  <c r="J27" i="23" s="1"/>
  <c r="I25" i="23"/>
  <c r="I26" i="23" s="1"/>
  <c r="I27" i="23" s="1"/>
  <c r="H25" i="23"/>
  <c r="H26" i="23" s="1"/>
  <c r="H27" i="23" s="1"/>
  <c r="G25" i="23"/>
  <c r="G26" i="23" s="1"/>
  <c r="G27" i="23" s="1"/>
  <c r="F25" i="23"/>
  <c r="F26" i="23" s="1"/>
  <c r="F27" i="23" s="1"/>
  <c r="E25" i="23"/>
  <c r="E26" i="23" s="1"/>
  <c r="E27" i="23" s="1"/>
  <c r="D25" i="23"/>
  <c r="D26" i="23" s="1"/>
  <c r="D27" i="23" s="1"/>
  <c r="C25" i="23"/>
  <c r="C26" i="23" s="1"/>
  <c r="C27" i="23" s="1"/>
  <c r="AJ24" i="23"/>
  <c r="AJ23" i="23"/>
  <c r="AJ22" i="23"/>
  <c r="AJ21" i="23"/>
  <c r="AJ20" i="23"/>
  <c r="AJ19" i="23"/>
  <c r="AJ18" i="23"/>
  <c r="AJ17" i="23"/>
  <c r="AJ16" i="23"/>
  <c r="AJ15" i="23"/>
  <c r="AJ14" i="23"/>
  <c r="AJ13" i="23"/>
  <c r="AJ12" i="23"/>
  <c r="AJ11" i="23"/>
  <c r="AJ10" i="23"/>
  <c r="AJ9" i="23"/>
  <c r="AJ8" i="23"/>
  <c r="AJ7" i="23"/>
  <c r="AJ6" i="23"/>
  <c r="AJ5" i="23"/>
  <c r="AJ4" i="23"/>
  <c r="B58" i="22" a="1"/>
  <c r="B58" i="22" s="1"/>
  <c r="AC25" i="22"/>
  <c r="AC26" i="22" s="1"/>
  <c r="AC27" i="22" s="1"/>
  <c r="AB25" i="22"/>
  <c r="AB26" i="22" s="1"/>
  <c r="AB27" i="22" s="1"/>
  <c r="AA25" i="22"/>
  <c r="AA26" i="22" s="1"/>
  <c r="AA27" i="22" s="1"/>
  <c r="Z25" i="22"/>
  <c r="Z26" i="22" s="1"/>
  <c r="Z27" i="22" s="1"/>
  <c r="Y25" i="22"/>
  <c r="Y26" i="22" s="1"/>
  <c r="Y27" i="22" s="1"/>
  <c r="X25" i="22"/>
  <c r="X26" i="22" s="1"/>
  <c r="X27" i="22" s="1"/>
  <c r="W25" i="22"/>
  <c r="W26" i="22" s="1"/>
  <c r="W27" i="22" s="1"/>
  <c r="V25" i="22"/>
  <c r="V26" i="22" s="1"/>
  <c r="V27" i="22" s="1"/>
  <c r="U25" i="22"/>
  <c r="U26" i="22" s="1"/>
  <c r="U27" i="22" s="1"/>
  <c r="T25" i="22"/>
  <c r="T26" i="22" s="1"/>
  <c r="T27" i="22" s="1"/>
  <c r="S25" i="22"/>
  <c r="S26" i="22" s="1"/>
  <c r="S27" i="22" s="1"/>
  <c r="R25" i="22"/>
  <c r="R26" i="22" s="1"/>
  <c r="R27" i="22" s="1"/>
  <c r="Q25" i="22"/>
  <c r="Q26" i="22" s="1"/>
  <c r="Q27" i="22" s="1"/>
  <c r="P25" i="22"/>
  <c r="P26" i="22" s="1"/>
  <c r="P27" i="22" s="1"/>
  <c r="N25" i="22"/>
  <c r="N26" i="22" s="1"/>
  <c r="N27" i="22" s="1"/>
  <c r="M25" i="22"/>
  <c r="M26" i="22" s="1"/>
  <c r="M27" i="22" s="1"/>
  <c r="L25" i="22"/>
  <c r="L26" i="22" s="1"/>
  <c r="L27" i="22" s="1"/>
  <c r="K25" i="22"/>
  <c r="K26" i="22" s="1"/>
  <c r="K27" i="22" s="1"/>
  <c r="J25" i="22"/>
  <c r="J26" i="22" s="1"/>
  <c r="J27" i="22" s="1"/>
  <c r="I25" i="22"/>
  <c r="I26" i="22" s="1"/>
  <c r="I27" i="22" s="1"/>
  <c r="H25" i="22"/>
  <c r="H26" i="22" s="1"/>
  <c r="H27" i="22" s="1"/>
  <c r="G25" i="22"/>
  <c r="G26" i="22" s="1"/>
  <c r="G27" i="22" s="1"/>
  <c r="F25" i="22"/>
  <c r="F26" i="22" s="1"/>
  <c r="F27" i="22" s="1"/>
  <c r="E25" i="22"/>
  <c r="E26" i="22" s="1"/>
  <c r="E27" i="22" s="1"/>
  <c r="D25" i="22"/>
  <c r="D26" i="22" s="1"/>
  <c r="D27" i="22" s="1"/>
  <c r="C25" i="22"/>
  <c r="C26" i="22" s="1"/>
  <c r="C27" i="22" s="1"/>
  <c r="B58" i="21" a="1"/>
  <c r="B58" i="21" s="1"/>
  <c r="AG25" i="21"/>
  <c r="AG26" i="21" s="1"/>
  <c r="AG27" i="21" s="1"/>
  <c r="AF25" i="21"/>
  <c r="AF26" i="21" s="1"/>
  <c r="AF27" i="21" s="1"/>
  <c r="AE25" i="21"/>
  <c r="AE26" i="21" s="1"/>
  <c r="AE27" i="21" s="1"/>
  <c r="AD25" i="21"/>
  <c r="AD26" i="21" s="1"/>
  <c r="AD27" i="21" s="1"/>
  <c r="AC25" i="21"/>
  <c r="AC26" i="21" s="1"/>
  <c r="AC27" i="21" s="1"/>
  <c r="AB25" i="21"/>
  <c r="AB26" i="21" s="1"/>
  <c r="AB27" i="21" s="1"/>
  <c r="AA25" i="21"/>
  <c r="AA26" i="21" s="1"/>
  <c r="AA27" i="21" s="1"/>
  <c r="Z25" i="21"/>
  <c r="Z26" i="21" s="1"/>
  <c r="Z27" i="21" s="1"/>
  <c r="Y25" i="21"/>
  <c r="Y26" i="21" s="1"/>
  <c r="Y27" i="21" s="1"/>
  <c r="X25" i="21"/>
  <c r="X26" i="21" s="1"/>
  <c r="X27" i="21" s="1"/>
  <c r="W25" i="21"/>
  <c r="W26" i="21" s="1"/>
  <c r="W27" i="21" s="1"/>
  <c r="V25" i="21"/>
  <c r="V26" i="21" s="1"/>
  <c r="V27" i="21" s="1"/>
  <c r="U25" i="21"/>
  <c r="U26" i="21" s="1"/>
  <c r="U27" i="21" s="1"/>
  <c r="T25" i="21"/>
  <c r="T26" i="21" s="1"/>
  <c r="T27" i="21" s="1"/>
  <c r="S25" i="21"/>
  <c r="S26" i="21" s="1"/>
  <c r="S27" i="21" s="1"/>
  <c r="R25" i="21"/>
  <c r="R26" i="21" s="1"/>
  <c r="R27" i="21" s="1"/>
  <c r="Q25" i="21"/>
  <c r="Q26" i="21" s="1"/>
  <c r="Q27" i="21" s="1"/>
  <c r="P25" i="21"/>
  <c r="P26" i="21" s="1"/>
  <c r="P27" i="21" s="1"/>
  <c r="O25" i="21"/>
  <c r="O26" i="21" s="1"/>
  <c r="O27" i="21" s="1"/>
  <c r="N25" i="21"/>
  <c r="N26" i="21" s="1"/>
  <c r="N27" i="21" s="1"/>
  <c r="K25" i="21"/>
  <c r="K26" i="21" s="1"/>
  <c r="K27" i="21" s="1"/>
  <c r="J25" i="21"/>
  <c r="J26" i="21" s="1"/>
  <c r="J27" i="21" s="1"/>
  <c r="I25" i="21"/>
  <c r="I26" i="21" s="1"/>
  <c r="I27" i="21" s="1"/>
  <c r="H25" i="21"/>
  <c r="H26" i="21" s="1"/>
  <c r="H27" i="21" s="1"/>
  <c r="G25" i="21"/>
  <c r="G26" i="21" s="1"/>
  <c r="G27" i="21" s="1"/>
  <c r="F25" i="21"/>
  <c r="F26" i="21" s="1"/>
  <c r="F27" i="21" s="1"/>
  <c r="E25" i="21"/>
  <c r="E26" i="21" s="1"/>
  <c r="E27" i="21" s="1"/>
  <c r="D25" i="21"/>
  <c r="D26" i="21" s="1"/>
  <c r="D27" i="21" s="1"/>
  <c r="C25" i="21"/>
  <c r="C26" i="21" s="1"/>
  <c r="C27" i="21" s="1"/>
  <c r="C25" i="9"/>
  <c r="AN25" i="34" l="1"/>
  <c r="AM25" i="21"/>
  <c r="AL25" i="33"/>
  <c r="AJ25" i="23"/>
  <c r="AJ26" i="23" s="1"/>
  <c r="AK25" i="23"/>
  <c r="AL25" i="23"/>
  <c r="AH25" i="22"/>
  <c r="AH26" i="22" s="1"/>
  <c r="AK25" i="36"/>
  <c r="AK26" i="36" s="1"/>
  <c r="AK27" i="36" s="1"/>
  <c r="AJ25" i="22"/>
  <c r="AG25" i="24"/>
  <c r="AO25" i="34"/>
  <c r="AP25" i="34"/>
  <c r="AJ25" i="33"/>
  <c r="AJ26" i="33" s="1"/>
  <c r="AJ27" i="33" s="1"/>
  <c r="AJ25" i="36"/>
  <c r="AJ26" i="36" s="1"/>
  <c r="AJ27" i="36" s="1"/>
  <c r="AI25" i="22"/>
  <c r="AG26" i="38"/>
  <c r="AT25" i="38"/>
  <c r="AL25" i="37"/>
  <c r="AM26" i="34"/>
  <c r="AM27" i="34" s="1"/>
  <c r="AQ25" i="38"/>
  <c r="AS25" i="38"/>
  <c r="AI25" i="37"/>
  <c r="AI26" i="37" s="1"/>
  <c r="AI27" i="37" s="1"/>
  <c r="AL25" i="36"/>
  <c r="AM25" i="36"/>
  <c r="AK25" i="22"/>
  <c r="AM25" i="23"/>
  <c r="AH25" i="24"/>
  <c r="AI25" i="24"/>
  <c r="C26" i="9"/>
  <c r="C27" i="9" s="1"/>
  <c r="AG27" i="38" l="1"/>
  <c r="AQ26" i="38"/>
  <c r="AQ27" i="38" s="1"/>
  <c r="AR25" i="38"/>
  <c r="AR26" i="38" s="1"/>
  <c r="AR27" i="38" s="1"/>
  <c r="AJ5" i="9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I5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J4" i="9"/>
  <c r="AI4" i="9"/>
  <c r="AH4" i="9"/>
  <c r="AI25" i="9" l="1"/>
  <c r="AI26" i="9" s="1"/>
  <c r="AI27" i="9" s="1"/>
  <c r="AH25" i="9"/>
  <c r="AH26" i="9" s="1"/>
  <c r="AH27" i="9" s="1"/>
  <c r="AJ25" i="9"/>
  <c r="AJ26" i="9" s="1"/>
  <c r="AJ27" i="9" s="1"/>
  <c r="AG5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D25" i="9"/>
  <c r="D26" i="9" s="1"/>
  <c r="D27" i="9" s="1"/>
  <c r="E25" i="9"/>
  <c r="E26" i="9" s="1"/>
  <c r="E27" i="9" s="1"/>
  <c r="F25" i="9"/>
  <c r="F26" i="9" s="1"/>
  <c r="F27" i="9" s="1"/>
  <c r="G25" i="9"/>
  <c r="G26" i="9" s="1"/>
  <c r="G27" i="9" s="1"/>
  <c r="H25" i="9"/>
  <c r="H26" i="9" s="1"/>
  <c r="H27" i="9" s="1"/>
  <c r="I25" i="9"/>
  <c r="I26" i="9" s="1"/>
  <c r="I27" i="9" s="1"/>
  <c r="J25" i="9"/>
  <c r="J26" i="9" s="1"/>
  <c r="J27" i="9" s="1"/>
  <c r="K25" i="9"/>
  <c r="K26" i="9" s="1"/>
  <c r="K27" i="9" s="1"/>
  <c r="L25" i="9"/>
  <c r="L26" i="9" s="1"/>
  <c r="L27" i="9" s="1"/>
  <c r="M25" i="9"/>
  <c r="M26" i="9" s="1"/>
  <c r="M27" i="9" s="1"/>
  <c r="N25" i="9"/>
  <c r="N26" i="9" s="1"/>
  <c r="N27" i="9" s="1"/>
  <c r="O25" i="9"/>
  <c r="O26" i="9" s="1"/>
  <c r="O27" i="9" s="1"/>
  <c r="P25" i="9"/>
  <c r="P26" i="9" s="1"/>
  <c r="P27" i="9" s="1"/>
  <c r="Q25" i="9"/>
  <c r="Q26" i="9" s="1"/>
  <c r="Q27" i="9" s="1"/>
  <c r="R25" i="9"/>
  <c r="R26" i="9" s="1"/>
  <c r="R27" i="9" s="1"/>
  <c r="S25" i="9"/>
  <c r="S26" i="9" s="1"/>
  <c r="S27" i="9" s="1"/>
  <c r="T25" i="9"/>
  <c r="T26" i="9" s="1"/>
  <c r="T27" i="9" s="1"/>
  <c r="U25" i="9"/>
  <c r="U26" i="9" s="1"/>
  <c r="U27" i="9" s="1"/>
  <c r="V25" i="9"/>
  <c r="V26" i="9" s="1"/>
  <c r="V27" i="9" s="1"/>
  <c r="W25" i="9"/>
  <c r="W26" i="9" s="1"/>
  <c r="W27" i="9" s="1"/>
  <c r="X25" i="9"/>
  <c r="X26" i="9" s="1"/>
  <c r="X27" i="9" s="1"/>
  <c r="Y25" i="9"/>
  <c r="Y26" i="9" s="1"/>
  <c r="Y27" i="9" s="1"/>
  <c r="Z25" i="9"/>
  <c r="Z26" i="9" s="1"/>
  <c r="Z27" i="9" s="1"/>
  <c r="AA25" i="9"/>
  <c r="AA26" i="9" s="1"/>
  <c r="AA27" i="9" s="1"/>
  <c r="AB25" i="9"/>
  <c r="AB26" i="9" s="1"/>
  <c r="AB27" i="9" s="1"/>
  <c r="AC25" i="9"/>
  <c r="AC26" i="9" s="1"/>
  <c r="AC27" i="9" s="1"/>
  <c r="AD25" i="9"/>
  <c r="AE25" i="9"/>
  <c r="AF25" i="9"/>
  <c r="AF26" i="9" s="1"/>
  <c r="AF27" i="9" s="1"/>
  <c r="AG4" i="9"/>
  <c r="B58" i="9" a="1"/>
  <c r="B58" i="9" s="1"/>
  <c r="AG25" i="9" l="1"/>
  <c r="AG26" i="9" s="1"/>
  <c r="AG27" i="9" s="1"/>
  <c r="AE26" i="9"/>
  <c r="AE27" i="9" s="1"/>
  <c r="AD26" i="9"/>
  <c r="AD27" i="9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<sst xmlns="http://schemas.openxmlformats.org/spreadsheetml/2006/main" count="438" uniqueCount="127">
  <si>
    <t xml:space="preserve">اسم المدرسة </t>
  </si>
  <si>
    <t>معلم/ة المادة</t>
  </si>
  <si>
    <t>م</t>
  </si>
  <si>
    <t>4-ب</t>
  </si>
  <si>
    <t xml:space="preserve">الإجراء المطلوب لمعالجة  المفردة </t>
  </si>
  <si>
    <t xml:space="preserve">رقم الملف </t>
  </si>
  <si>
    <t>التخصص</t>
  </si>
  <si>
    <t>Column1</t>
  </si>
  <si>
    <t>معرفة</t>
  </si>
  <si>
    <t>تطبيق</t>
  </si>
  <si>
    <t>استدلال</t>
  </si>
  <si>
    <t xml:space="preserve">ملاحظات هامة </t>
  </si>
  <si>
    <t>الصفوف</t>
  </si>
  <si>
    <t>3-ا</t>
  </si>
  <si>
    <t>4-ا</t>
  </si>
  <si>
    <t>19-ا</t>
  </si>
  <si>
    <t>19-ب</t>
  </si>
  <si>
    <t xml:space="preserve">المفردة </t>
  </si>
  <si>
    <t>اسم الطالب/ة      الدرجة</t>
  </si>
  <si>
    <t xml:space="preserve">المتوسط </t>
  </si>
  <si>
    <t>11-ا</t>
  </si>
  <si>
    <t>11-ب</t>
  </si>
  <si>
    <t>12-ا</t>
  </si>
  <si>
    <t>12-ب</t>
  </si>
  <si>
    <t>9-ا</t>
  </si>
  <si>
    <t>9-ب</t>
  </si>
  <si>
    <t>15-ا</t>
  </si>
  <si>
    <t>15-ب</t>
  </si>
  <si>
    <t>17-ب</t>
  </si>
  <si>
    <t>المجموع</t>
  </si>
  <si>
    <t>16-ا</t>
  </si>
  <si>
    <t>16-ب</t>
  </si>
  <si>
    <t>21-ا</t>
  </si>
  <si>
    <t>21-ب</t>
  </si>
  <si>
    <t xml:space="preserve">النسبة المئوية </t>
  </si>
  <si>
    <t>21-ج</t>
  </si>
  <si>
    <t>3-ج</t>
  </si>
  <si>
    <t>4-ج</t>
  </si>
  <si>
    <t>17-ا</t>
  </si>
  <si>
    <t xml:space="preserve">متميز </t>
  </si>
  <si>
    <t xml:space="preserve">جيد </t>
  </si>
  <si>
    <t xml:space="preserve">ملائم </t>
  </si>
  <si>
    <t xml:space="preserve">غير ملائم </t>
  </si>
  <si>
    <t xml:space="preserve">يحتاج الى تدخل </t>
  </si>
  <si>
    <t xml:space="preserve"> 70% &lt;    </t>
  </si>
  <si>
    <t>60%&lt;</t>
  </si>
  <si>
    <t>50%&lt;</t>
  </si>
  <si>
    <t>40%&lt;</t>
  </si>
  <si>
    <t>&lt;40</t>
  </si>
  <si>
    <t>13-ا</t>
  </si>
  <si>
    <t>13-ب</t>
  </si>
  <si>
    <t>17-ج</t>
  </si>
  <si>
    <t>1-ا</t>
  </si>
  <si>
    <t>1-ب</t>
  </si>
  <si>
    <t>8-ا</t>
  </si>
  <si>
    <t>8-ب</t>
  </si>
  <si>
    <t>8-ج</t>
  </si>
  <si>
    <t>10-ا</t>
  </si>
  <si>
    <t>10-ب</t>
  </si>
  <si>
    <t>11-ج</t>
  </si>
  <si>
    <t>20-ا</t>
  </si>
  <si>
    <t>20-ب</t>
  </si>
  <si>
    <t>24-ا</t>
  </si>
  <si>
    <t>24-ب</t>
  </si>
  <si>
    <t>5-ا</t>
  </si>
  <si>
    <t>5-ب</t>
  </si>
  <si>
    <t>24-ج</t>
  </si>
  <si>
    <t>24-د</t>
  </si>
  <si>
    <t>3-ب</t>
  </si>
  <si>
    <t>18-ا</t>
  </si>
  <si>
    <t>18-ب</t>
  </si>
  <si>
    <t>20-ج</t>
  </si>
  <si>
    <t>20-د</t>
  </si>
  <si>
    <t>23-ا</t>
  </si>
  <si>
    <t>23-ب</t>
  </si>
  <si>
    <t>2-ا</t>
  </si>
  <si>
    <t>2-ب</t>
  </si>
  <si>
    <t>2-ج</t>
  </si>
  <si>
    <t>5-ج</t>
  </si>
  <si>
    <t>14-ا</t>
  </si>
  <si>
    <t>14-ب</t>
  </si>
  <si>
    <t>14-ج</t>
  </si>
  <si>
    <t>19-ج</t>
  </si>
  <si>
    <t>10-د</t>
  </si>
  <si>
    <t>10-هـ</t>
  </si>
  <si>
    <t>6-ا</t>
  </si>
  <si>
    <t>7-ب</t>
  </si>
  <si>
    <t>6-ب</t>
  </si>
  <si>
    <t>7-ا</t>
  </si>
  <si>
    <t>22-ا</t>
  </si>
  <si>
    <t>22-ب</t>
  </si>
  <si>
    <t>27-ا</t>
  </si>
  <si>
    <t>27-ب</t>
  </si>
  <si>
    <t>28-ا</t>
  </si>
  <si>
    <t>28-ب</t>
  </si>
  <si>
    <t>29-ا</t>
  </si>
  <si>
    <t>29-ب</t>
  </si>
  <si>
    <t>30-ا</t>
  </si>
  <si>
    <t>30-ب</t>
  </si>
  <si>
    <t xml:space="preserve">استقصاء علمي </t>
  </si>
  <si>
    <t>21-د</t>
  </si>
  <si>
    <t>25-ا</t>
  </si>
  <si>
    <t>25-ب</t>
  </si>
  <si>
    <t xml:space="preserve">7-ج </t>
  </si>
  <si>
    <t>15-ج</t>
  </si>
  <si>
    <t>16-ج</t>
  </si>
  <si>
    <t>16-د</t>
  </si>
  <si>
    <t>1️⃣-تتم تعبئة استمارة التحليل من واقع الورقة الإمتحانية لكل طالب/ة</t>
  </si>
  <si>
    <t xml:space="preserve">3️⃣- يجب الاحتفاظ بنسخة من التحليل ضمن سجلات المعلم </t>
  </si>
  <si>
    <t xml:space="preserve">4️⃣-في حالة أن عدد الطلبة  أكثر من 20 يتم عمل التحليل لعينة ممثلة لنسب الدرجات في الصف بنسبة 10% من التحليل الإجمالي    </t>
  </si>
  <si>
    <t>انتشار نسبة الاتقان للمفردة</t>
  </si>
  <si>
    <t>2️⃣-تقوم الاستمارة بتحديد انتشار نسبة الاتقان للمفردة لكل مفردة على حده</t>
  </si>
  <si>
    <t xml:space="preserve">تحليل مفردات اختبار نهاية الفصل الدراسي الاول في مادة العلوم و الكيمياء  للصفوف(5-10) من العام الدراسي 2025-2026م </t>
  </si>
  <si>
    <t>احمد راجح عامر المشيخي</t>
  </si>
  <si>
    <t>عواد بخيت محمد الشحري</t>
  </si>
  <si>
    <t>مازن عامر سهيل العمري</t>
  </si>
  <si>
    <t>عبدالسلام علي عامر العمري</t>
  </si>
  <si>
    <t>احمد محمد احمد المشيخي</t>
  </si>
  <si>
    <t>مسلم ازاد مسلم المشيخي</t>
  </si>
  <si>
    <t>محمد سالم ازاد العمري</t>
  </si>
  <si>
    <t>سعيد علي سعيد العمري</t>
  </si>
  <si>
    <t>سعيد احمد سعيدالمشيخي</t>
  </si>
  <si>
    <t>علي سهيل مسلم العمري</t>
  </si>
  <si>
    <t>طوي اعتير للتعليم الأساسي بنين(5-12)</t>
  </si>
  <si>
    <t>تاسع/1</t>
  </si>
  <si>
    <t>كيمياء</t>
  </si>
  <si>
    <t>عامر علي عامر العمري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</si>
</sst>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Arial"/>
      <family val="2"/>
      <scheme val="minor"/>
    </font>
    <font>
      <b/>
      <sz val="16"/>
      <color theme="1"/>
      <name val="Sakkal Majalla"/>
    </font>
    <font>
      <b/>
      <sz val="18"/>
      <color theme="1"/>
      <name val="Sakkal Majalla"/>
    </font>
    <font>
      <b/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8"/>
      <color theme="4" tint="-0.499984740745262"/>
      <name val="Arial"/>
      <family val="2"/>
      <scheme val="minor"/>
    </font>
    <font>
      <b/>
      <sz val="20"/>
      <color theme="1"/>
      <name val="Adobe Arabic"/>
      <family val="1"/>
    </font>
    <font>
      <b/>
      <sz val="16"/>
      <color theme="1"/>
      <name val="Adobe Arabic"/>
      <family val="1"/>
    </font>
    <font>
      <b/>
      <sz val="16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18"/>
      <color rgb="FFC00000"/>
      <name val="Sakkal Majalla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indexed="64"/>
      </diagonal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6" fillId="7" borderId="1" xfId="0" applyFont="1" applyFill="1" applyBorder="1" applyAlignment="1">
      <alignment horizontal="center" vertical="center" readingOrder="2"/>
    </xf>
    <xf numFmtId="0" fontId="1" fillId="0" borderId="8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7" borderId="15" xfId="0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6" fillId="7" borderId="0" xfId="0" applyFont="1" applyFill="1" applyAlignment="1">
      <alignment horizontal="center" vertical="center" readingOrder="2"/>
    </xf>
    <xf numFmtId="0" fontId="2" fillId="8" borderId="8" xfId="0" applyFont="1" applyFill="1" applyBorder="1" applyAlignment="1">
      <alignment horizontal="center" vertical="center" readingOrder="2"/>
    </xf>
    <xf numFmtId="0" fontId="2" fillId="2" borderId="8" xfId="0" applyFont="1" applyFill="1" applyBorder="1" applyAlignment="1">
      <alignment horizontal="center" vertical="center" readingOrder="2"/>
    </xf>
    <xf numFmtId="0" fontId="3" fillId="9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readingOrder="2"/>
    </xf>
    <xf numFmtId="2" fontId="7" fillId="0" borderId="0" xfId="0" applyNumberFormat="1" applyFont="1" applyAlignment="1">
      <alignment horizontal="center" vertical="center"/>
    </xf>
    <xf numFmtId="16" fontId="6" fillId="7" borderId="0" xfId="0" applyNumberFormat="1" applyFont="1" applyFill="1" applyAlignment="1">
      <alignment horizontal="center" vertical="center" readingOrder="2"/>
    </xf>
    <xf numFmtId="0" fontId="8" fillId="8" borderId="1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 readingOrder="2"/>
    </xf>
    <xf numFmtId="0" fontId="9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2" borderId="8" xfId="0" applyFont="1" applyFill="1" applyBorder="1" applyAlignment="1">
      <alignment horizontal="right" vertical="center" wrapText="1"/>
    </xf>
    <xf numFmtId="0" fontId="0" fillId="0" borderId="23" xfId="0" applyBorder="1"/>
    <xf numFmtId="0" fontId="1" fillId="0" borderId="23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0" fillId="0" borderId="24" xfId="0" applyBorder="1"/>
    <xf numFmtId="0" fontId="5" fillId="0" borderId="28" xfId="0" applyFont="1" applyBorder="1" applyAlignment="1">
      <alignment readingOrder="2"/>
    </xf>
    <xf numFmtId="0" fontId="5" fillId="0" borderId="29" xfId="0" applyFont="1" applyBorder="1" applyAlignment="1">
      <alignment readingOrder="2"/>
    </xf>
    <xf numFmtId="0" fontId="0" fillId="0" borderId="22" xfId="0" applyBorder="1"/>
    <xf numFmtId="0" fontId="5" fillId="0" borderId="30" xfId="0" applyFont="1" applyBorder="1" applyAlignment="1">
      <alignment horizontal="right" readingOrder="2"/>
    </xf>
    <xf numFmtId="0" fontId="0" fillId="0" borderId="4" xfId="0" applyBorder="1"/>
    <xf numFmtId="0" fontId="5" fillId="0" borderId="21" xfId="0" applyFont="1" applyBorder="1" applyAlignment="1">
      <alignment horizontal="right" readingOrder="2"/>
    </xf>
    <xf numFmtId="0" fontId="5" fillId="0" borderId="27" xfId="0" applyFont="1" applyBorder="1" applyAlignment="1">
      <alignment horizontal="right" readingOrder="2"/>
    </xf>
    <xf numFmtId="0" fontId="4" fillId="5" borderId="10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5" fillId="0" borderId="13" xfId="0" applyFont="1" applyBorder="1" applyAlignment="1">
      <alignment horizontal="right" readingOrder="2"/>
    </xf>
    <xf numFmtId="0" fontId="5" fillId="0" borderId="9" xfId="0" applyFont="1" applyBorder="1" applyAlignment="1">
      <alignment horizontal="right" readingOrder="2"/>
    </xf>
    <xf numFmtId="0" fontId="5" fillId="0" borderId="14" xfId="0" applyFont="1" applyBorder="1" applyAlignment="1">
      <alignment horizontal="right" readingOrder="2"/>
    </xf>
    <xf numFmtId="0" fontId="5" fillId="0" borderId="25" xfId="0" applyFont="1" applyBorder="1" applyAlignment="1">
      <alignment horizontal="right" readingOrder="2"/>
    </xf>
    <xf numFmtId="0" fontId="5" fillId="0" borderId="18" xfId="0" applyFont="1" applyBorder="1" applyAlignment="1">
      <alignment horizontal="right" readingOrder="2"/>
    </xf>
    <xf numFmtId="0" fontId="5" fillId="0" borderId="26" xfId="0" applyFont="1" applyBorder="1" applyAlignment="1">
      <alignment horizontal="right" readingOrder="2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1" fillId="12" borderId="17" xfId="0" applyFont="1" applyFill="1" applyBorder="1" applyAlignment="1">
      <alignment horizontal="center" wrapText="1"/>
    </xf>
    <xf numFmtId="0" fontId="11" fillId="12" borderId="18" xfId="0" applyFont="1" applyFill="1" applyBorder="1" applyAlignment="1">
      <alignment horizontal="center" wrapText="1"/>
    </xf>
    <xf numFmtId="0" fontId="11" fillId="12" borderId="19" xfId="0" applyFont="1" applyFill="1" applyBorder="1" applyAlignment="1">
      <alignment horizontal="center" wrapText="1"/>
    </xf>
    <xf numFmtId="0" fontId="11" fillId="12" borderId="20" xfId="0" applyFont="1" applyFill="1" applyBorder="1" applyAlignment="1">
      <alignment horizontal="center" wrapText="1"/>
    </xf>
    <xf numFmtId="0" fontId="11" fillId="12" borderId="21" xfId="0" applyFont="1" applyFill="1" applyBorder="1" applyAlignment="1">
      <alignment horizontal="center" wrapText="1"/>
    </xf>
    <xf numFmtId="0" fontId="11" fillId="12" borderId="5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145">
    <dxf>
      <font>
        <b/>
      </font>
      <alignment horizontal="center" vertical="bottom" textRotation="0" wrapText="0" indent="0" justifyLastLine="0" shrinkToFit="0" readingOrder="0"/>
    </dxf>
    <dxf>
      <font>
        <b/>
      </font>
      <alignment horizontal="center" vertical="bottom" textRotation="0" wrapText="0" indent="0" justifyLastLine="0" shrinkToFit="0" readingOrder="0"/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7030A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7E-4AAA-905B-328A58D843A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7E-4AAA-905B-328A58D843A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7E-4AAA-905B-328A58D843A7}"/>
              </c:ext>
            </c:extLst>
          </c:dPt>
          <c:val>
            <c:numRef>
              <c:f>'صباحي ▏ ❺   '!$AH$25:$AJ$25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7E-4AAA-905B-328A58D84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'صباحي ▏ ❺  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75-4191-B881-ED59F92D8CE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❺  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75-4191-B881-ED59F92D8CE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❺  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75-4191-B881-ED59F92D8CE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❺  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75-4191-B881-ED59F92D8CE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❺  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75-4191-B881-ED59F92D8CE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❺   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75-4191-B881-ED59F92D8CE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75-4191-B881-ED59F92D8CE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E75-4191-B881-ED59F92D8CE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E75-4191-B881-ED59F92D8CE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E75-4191-B881-ED59F92D8CE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75-4191-B881-ED59F92D8CE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E75-4191-B881-ED59F92D8CE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E75-4191-B881-ED59F92D8CE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E75-4191-B881-ED59F92D8CE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E75-4191-B881-ED59F92D8CED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E75-4191-B881-ED59F92D8CED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E75-4191-B881-ED59F92D8CED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E75-4191-B881-ED59F92D8CED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E75-4191-B881-ED59F92D8CED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E75-4191-B881-ED59F92D8CED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E75-4191-B881-ED59F92D8CED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E75-4191-B881-ED59F92D8CED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E75-4191-B881-ED59F92D8CED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7E75-4191-B881-ED59F92D8CED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E75-4191-B881-ED59F92D8CED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7E75-4191-B881-ED59F92D8CED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7E75-4191-B881-ED59F92D8CED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7E75-4191-B881-ED59F92D8CED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7E75-4191-B881-ED59F92D8CED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❺  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7E75-4191-B881-ED59F92D8CED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E75-4191-B881-ED59F92D8CED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7E75-4191-B881-ED59F92D8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6E-4ED2-A170-01D7AA51AE0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6E-4ED2-A170-01D7AA51AE02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6E-4ED2-A170-01D7AA51AE02}"/>
              </c:ext>
            </c:extLst>
          </c:dPt>
          <c:val>
            <c:numRef>
              <c:f>'مسائي ▏ ❺   '!$AG$25:$AI$25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6E-4ED2-A170-01D7AA51A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'مسائي ▏ ❺  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A-495F-91BC-6A61198B5F2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❺  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A-495F-91BC-6A61198B5F2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❺  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A-495F-91BC-6A61198B5F2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❺  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5A-495F-91BC-6A61198B5F2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❺  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5A-495F-91BC-6A61198B5F2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❺   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5A-495F-91BC-6A61198B5F2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5A-495F-91BC-6A61198B5F2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5A-495F-91BC-6A61198B5F2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5A-495F-91BC-6A61198B5F2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B5A-495F-91BC-6A61198B5F2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5A-495F-91BC-6A61198B5F2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B5A-495F-91BC-6A61198B5F2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B5A-495F-91BC-6A61198B5F2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B5A-495F-91BC-6A61198B5F2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B5A-495F-91BC-6A61198B5F2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B5A-495F-91BC-6A61198B5F2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B5A-495F-91BC-6A61198B5F2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B5A-495F-91BC-6A61198B5F2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B5A-495F-91BC-6A61198B5F20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B5A-495F-91BC-6A61198B5F20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B5A-495F-91BC-6A61198B5F20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B5A-495F-91BC-6A61198B5F20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B5A-495F-91BC-6A61198B5F20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B5A-495F-91BC-6A61198B5F20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B5A-495F-91BC-6A61198B5F20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B5A-495F-91BC-6A61198B5F20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B5A-495F-91BC-6A61198B5F20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❺  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B5A-495F-91BC-6A61198B5F20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مسائي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B5A-495F-91BC-6A61198B5F20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مسائي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B5A-495F-91BC-6A61198B5F20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B5A-495F-91BC-6A61198B5F20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B5A-495F-91BC-6A61198B5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9B-4FB7-A66C-A136043A592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49B-4FB7-A66C-A136043A592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49B-4FB7-A66C-A136043A592E}"/>
              </c:ext>
            </c:extLst>
          </c:dPt>
          <c:val>
            <c:numRef>
              <c:f>'صباحي ▏ ❻'!$AK$25:$AM$25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9B-4FB7-A66C-A136043A5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'صباحي ▏ ❻'!$C$26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4-41C4-BFB6-6B157BB60E4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❻'!$D$26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4-41C4-BFB6-6B157BB60E4D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❻'!$E$26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54-41C4-BFB6-6B157BB60E4D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❻'!$F$26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54-41C4-BFB6-6B157BB60E4D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❻'!$G$26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54-41C4-BFB6-6B157BB60E4D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❻'!$H$26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54-41C4-BFB6-6B157BB60E4D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54-41C4-BFB6-6B157BB60E4D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54-41C4-BFB6-6B157BB60E4D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954-41C4-BFB6-6B157BB60E4D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954-41C4-BFB6-6B157BB60E4D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954-41C4-BFB6-6B157BB60E4D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954-41C4-BFB6-6B157BB60E4D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954-41C4-BFB6-6B157BB60E4D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954-41C4-BFB6-6B157BB60E4D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954-41C4-BFB6-6B157BB60E4D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954-41C4-BFB6-6B157BB60E4D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954-41C4-BFB6-6B157BB60E4D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954-41C4-BFB6-6B157BB60E4D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E954-41C4-BFB6-6B157BB60E4D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E954-41C4-BFB6-6B157BB60E4D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E954-41C4-BFB6-6B157BB60E4D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E954-41C4-BFB6-6B157BB60E4D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954-41C4-BFB6-6B157BB60E4D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954-41C4-BFB6-6B157BB60E4D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954-41C4-BFB6-6B157BB60E4D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E954-41C4-BFB6-6B157BB60E4D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E954-41C4-BFB6-6B157BB60E4D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E954-41C4-BFB6-6B157BB60E4D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E954-41C4-BFB6-6B157BB60E4D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❻'!$AI$26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E954-41C4-BFB6-6B157BB60E4D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E954-41C4-BFB6-6B157BB60E4D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E954-41C4-BFB6-6B157BB60E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D4-447E-A535-1B09AC54763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D4-447E-A535-1B09AC54763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D4-447E-A535-1B09AC547636}"/>
              </c:ext>
            </c:extLst>
          </c:dPt>
          <c:val>
            <c:numRef>
              <c:f>'مسائي ▏ ❻'!$AK$25:$AM$25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D4-447E-A535-1B09AC547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'مسائي ▏ ❻'!$C$26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E-4CF1-8FE5-897D1CD08DC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❻'!$D$26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8E-4CF1-8FE5-897D1CD08DC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❻'!$E$26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8E-4CF1-8FE5-897D1CD08DC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❻'!$F$26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8E-4CF1-8FE5-897D1CD08DC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❻'!$G$26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8E-4CF1-8FE5-897D1CD08DC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❻'!$H$26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8E-4CF1-8FE5-897D1CD08DC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8E-4CF1-8FE5-897D1CD08DC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8E-4CF1-8FE5-897D1CD08DC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8E-4CF1-8FE5-897D1CD08DC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8E-4CF1-8FE5-897D1CD08DC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08E-4CF1-8FE5-897D1CD08DC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08E-4CF1-8FE5-897D1CD08DC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08E-4CF1-8FE5-897D1CD08DC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8E-4CF1-8FE5-897D1CD08DC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08E-4CF1-8FE5-897D1CD08DC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08E-4CF1-8FE5-897D1CD08DC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08E-4CF1-8FE5-897D1CD08DC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08E-4CF1-8FE5-897D1CD08DC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08E-4CF1-8FE5-897D1CD08DC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08E-4CF1-8FE5-897D1CD08DC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08E-4CF1-8FE5-897D1CD08DC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08E-4CF1-8FE5-897D1CD08DC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08E-4CF1-8FE5-897D1CD08DC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08E-4CF1-8FE5-897D1CD08DC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08E-4CF1-8FE5-897D1CD08DC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08E-4CF1-8FE5-897D1CD08DC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08E-4CF1-8FE5-897D1CD08DC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08E-4CF1-8FE5-897D1CD08DC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08E-4CF1-8FE5-897D1CD08DC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❻'!$AI$26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08E-4CF1-8FE5-897D1CD08DC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08E-4CF1-8FE5-897D1CD08DC6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08E-4CF1-8FE5-897D1CD08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FE-431B-A9F6-C726DF0AC28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6FE-431B-A9F6-C726DF0AC28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6FE-431B-A9F6-C726DF0AC281}"/>
              </c:ext>
            </c:extLst>
          </c:dPt>
          <c:val>
            <c:numRef>
              <c:f>'صباحي ▏ ❼'!$AI$25:$AK$25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FE-431B-A9F6-C726DF0AC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C5-46BF-9800-A7EEF9C5EF4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'صباحي ▏ ❼'!$C$26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C5-46BF-9800-A7EEF9C5EF44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'صباحي ▏ ❼'!$D$26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C5-46BF-9800-A7EEF9C5EF44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'صباحي ▏ ❼'!$E$26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C5-46BF-9800-A7EEF9C5EF44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'صباحي ▏ ❼'!$F$26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C5-46BF-9800-A7EEF9C5EF44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'صباحي ▏ ❼'!$G$26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C5-46BF-9800-A7EEF9C5EF44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C5-46BF-9800-A7EEF9C5EF44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C5-46BF-9800-A7EEF9C5EF44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C5-46BF-9800-A7EEF9C5EF44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C5-46BF-9800-A7EEF9C5EF44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C5-46BF-9800-A7EEF9C5EF44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DC5-46BF-9800-A7EEF9C5EF44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DC5-46BF-9800-A7EEF9C5EF44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DC5-46BF-9800-A7EEF9C5EF44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DC5-46BF-9800-A7EEF9C5EF44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DC5-46BF-9800-A7EEF9C5EF44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DC5-46BF-9800-A7EEF9C5EF44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DC5-46BF-9800-A7EEF9C5EF44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DC5-46BF-9800-A7EEF9C5EF44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DC5-46BF-9800-A7EEF9C5EF44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DC5-46BF-9800-A7EEF9C5EF44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DC5-46BF-9800-A7EEF9C5EF44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DC5-46BF-9800-A7EEF9C5EF44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DC5-46BF-9800-A7EEF9C5EF44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DC5-46BF-9800-A7EEF9C5EF44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5DC5-46BF-9800-A7EEF9C5EF44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DC5-46BF-9800-A7EEF9C5EF44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5DC5-46BF-9800-A7EEF9C5EF44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DC5-46BF-9800-A7EEF9C5EF44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'صباحي ▏ ❼'!$AC$26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5DC5-46BF-9800-A7EEF9C5EF44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5DC5-46BF-9800-A7EEF9C5EF44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5DC5-46BF-9800-A7EEF9C5EF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DD-4C24-98BC-499BBACF2A3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DD-4C24-98BC-499BBACF2A3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DD-4C24-98BC-499BBACF2A36}"/>
              </c:ext>
            </c:extLst>
          </c:dPt>
          <c:val>
            <c:numRef>
              <c:f>'مسائي ▏ ❼'!$AI$25:$AK$25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DD-4C24-98BC-499BBACF2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EA-4B64-B274-C2C1409F8C4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'مسائي ▏ ❼'!$D$26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EA-4B64-B274-C2C1409F8C46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'مسائي ▏ ❼'!$E$26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EA-4B64-B274-C2C1409F8C46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'مسائي ▏ ❼'!$F$26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EA-4B64-B274-C2C1409F8C46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'مسائي ▏ ❼'!$G$26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EA-4B64-B274-C2C1409F8C4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'مسائي ▏ ❼'!$H$26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EA-4B64-B274-C2C1409F8C46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EA-4B64-B274-C2C1409F8C46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AEA-4B64-B274-C2C1409F8C46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EA-4B64-B274-C2C1409F8C46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AEA-4B64-B274-C2C1409F8C46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AEA-4B64-B274-C2C1409F8C46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AEA-4B64-B274-C2C1409F8C46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EA-4B64-B274-C2C1409F8C46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AEA-4B64-B274-C2C1409F8C46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AEA-4B64-B274-C2C1409F8C46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AEA-4B64-B274-C2C1409F8C46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AEA-4B64-B274-C2C1409F8C46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AEA-4B64-B274-C2C1409F8C46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AEA-4B64-B274-C2C1409F8C46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AEA-4B64-B274-C2C1409F8C46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AEA-4B64-B274-C2C1409F8C46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AEA-4B64-B274-C2C1409F8C46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AEA-4B64-B274-C2C1409F8C46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AEA-4B64-B274-C2C1409F8C46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AEA-4B64-B274-C2C1409F8C46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AEA-4B64-B274-C2C1409F8C46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AEA-4B64-B274-C2C1409F8C46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AEA-4B64-B274-C2C1409F8C46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AEA-4B64-B274-C2C1409F8C46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'مسائي ▏ ❼'!$AD$26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AEA-4B64-B274-C2C1409F8C46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AEA-4B64-B274-C2C1409F8C46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AEA-4B64-B274-C2C1409F8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B9-460C-AA52-FE8EBEF51BF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B9-460C-AA52-FE8EBEF51BF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B9-460C-AA52-FE8EBEF51BF6}"/>
              </c:ext>
            </c:extLst>
          </c:dPt>
          <c:val>
            <c:numRef>
              <c:f>' صباحي ▏ ❽'!$AL$25:$AN$25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B9-460C-AA52-FE8EBEF51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 صباحي ▏ ❽'!$C$26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57-4CE3-A3A1-5E7791EEDB7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صباحي ▏ ❽'!$D$26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57-4CE3-A3A1-5E7791EEDB70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صباحي ▏ ❽'!$E$26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57-4CE3-A3A1-5E7791EEDB70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صباحي ▏ ❽'!$F$26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57-4CE3-A3A1-5E7791EEDB70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صباحي ▏ ❽'!$G$26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157-4CE3-A3A1-5E7791EEDB7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صباحي ▏ ❽'!$H$26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157-4CE3-A3A1-5E7791EEDB70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157-4CE3-A3A1-5E7791EEDB7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157-4CE3-A3A1-5E7791EEDB70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57-4CE3-A3A1-5E7791EEDB70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57-4CE3-A3A1-5E7791EEDB70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57-4CE3-A3A1-5E7791EEDB70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157-4CE3-A3A1-5E7791EEDB7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157-4CE3-A3A1-5E7791EEDB70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157-4CE3-A3A1-5E7791EEDB70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157-4CE3-A3A1-5E7791EEDB70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157-4CE3-A3A1-5E7791EEDB70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157-4CE3-A3A1-5E7791EEDB7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157-4CE3-A3A1-5E7791EEDB70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157-4CE3-A3A1-5E7791EEDB70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157-4CE3-A3A1-5E7791EEDB70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157-4CE3-A3A1-5E7791EEDB70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157-4CE3-A3A1-5E7791EEDB70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157-4CE3-A3A1-5E7791EEDB70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157-4CE3-A3A1-5E7791EEDB70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157-4CE3-A3A1-5E7791EEDB70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157-4CE3-A3A1-5E7791EEDB70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157-4CE3-A3A1-5E7791EEDB70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157-4CE3-A3A1-5E7791EEDB70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157-4CE3-A3A1-5E7791EEDB70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صباحي ▏ ❽'!$AG$26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157-4CE3-A3A1-5E7791EEDB70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157-4CE3-A3A1-5E7791EEDB70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157-4CE3-A3A1-5E7791EED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B4-45C3-93B1-CA83AF95546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B4-45C3-93B1-CA83AF95546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B4-45C3-93B1-CA83AF95546E}"/>
              </c:ext>
            </c:extLst>
          </c:dPt>
          <c:val>
            <c:numRef>
              <c:f>' مسـائي ▏ ❽'!$AN$25:$AP$25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B4-45C3-93B1-CA83AF95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8-49FA-92F2-FFA6E71C9DB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مسـائي ▏ ❽'!$D$26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8-49FA-92F2-FFA6E71C9DB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مسـائي ▏ ❽'!$E$26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8-49FA-92F2-FFA6E71C9DB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مسـائي ▏ ❽'!$G$26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F8-49FA-92F2-FFA6E71C9DB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مسـائي ▏ ❽'!$H$26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F8-49FA-92F2-FFA6E71C9DB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مسـائي ▏ ❽'!$J$26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9F8-49FA-92F2-FFA6E71C9DB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F8-49FA-92F2-FFA6E71C9DB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9F8-49FA-92F2-FFA6E71C9DB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F8-49FA-92F2-FFA6E71C9DB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F8-49FA-92F2-FFA6E71C9DB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F8-49FA-92F2-FFA6E71C9DB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F8-49FA-92F2-FFA6E71C9DB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9F8-49FA-92F2-FFA6E71C9DB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'السابع صباحي'!#REF!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9F8-49FA-92F2-FFA6E71C9DB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9F8-49FA-92F2-FFA6E71C9DB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9F8-49FA-92F2-FFA6E71C9DB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9F8-49FA-92F2-FFA6E71C9DB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9F8-49FA-92F2-FFA6E71C9DB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9F8-49FA-92F2-FFA6E71C9DB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9F8-49FA-92F2-FFA6E71C9DB7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9F8-49FA-92F2-FFA6E71C9DB7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9F8-49FA-92F2-FFA6E71C9DB7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9F8-49FA-92F2-FFA6E71C9DB7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9F8-49FA-92F2-FFA6E71C9DB7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9F8-49FA-92F2-FFA6E71C9DB7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9F8-49FA-92F2-FFA6E71C9DB7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9F8-49FA-92F2-FFA6E71C9DB7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9F8-49FA-92F2-FFA6E71C9DB7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9F8-49FA-92F2-FFA6E71C9DB7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مسـائي ▏ ❽'!$AF$26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9F8-49FA-92F2-FFA6E71C9DB7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9F8-49FA-92F2-FFA6E71C9DB7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9F8-49FA-92F2-FFA6E71C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2E-4089-B17D-F5A85BAFD2E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2E-4089-B17D-F5A85BAFD2E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42E-4089-B17D-F5A85BAFD2EA}"/>
              </c:ext>
            </c:extLst>
          </c:dPt>
          <c:val>
            <c:numRef>
              <c:f>'كـمياء❇️صباحي▏❾ 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42E-4089-B17D-F5A85BAFD2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7-420E-B445-0F5D09BCAE9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D7-420E-B445-0F5D09BCAE92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D7-420E-B445-0F5D09BCAE92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D7-420E-B445-0F5D09BCAE92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D7-420E-B445-0F5D09BCAE92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D7-420E-B445-0F5D09BCAE92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D7-420E-B445-0F5D09BCAE92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D7-420E-B445-0F5D09BCAE92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D7-420E-B445-0F5D09BCAE92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5D7-420E-B445-0F5D09BCAE92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5D7-420E-B445-0F5D09BCAE92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5D7-420E-B445-0F5D09BCAE92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5D7-420E-B445-0F5D09BCAE92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5D7-420E-B445-0F5D09BCAE92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5D7-420E-B445-0F5D09BCAE92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5D7-420E-B445-0F5D09BCAE92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5D7-420E-B445-0F5D09BCAE92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5D7-420E-B445-0F5D09BCAE92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5D7-420E-B445-0F5D09BCAE92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5D7-420E-B445-0F5D09BCAE92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C5D7-420E-B445-0F5D09BCAE92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5D7-420E-B445-0F5D09BCAE92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5D7-420E-B445-0F5D09BCAE92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C5D7-420E-B445-0F5D09BCAE92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5D7-420E-B445-0F5D09BCAE92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C5D7-420E-B445-0F5D09BCAE92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C5D7-420E-B445-0F5D09BCAE92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C5D7-420E-B445-0F5D09BCAE92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C5D7-420E-B445-0F5D09BCAE92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'كـمياء❇️صباحي▏❾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C5D7-420E-B445-0F5D09BCAE92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C5D7-420E-B445-0F5D09BCAE92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C5D7-420E-B445-0F5D09BCA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33-45BF-879E-90136AFE3D49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33-45BF-879E-90136AFE3D4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33-45BF-879E-90136AFE3D49}"/>
              </c:ext>
            </c:extLst>
          </c:dPt>
          <c:val>
            <c:numRef>
              <c:f>'كـمياء ▏ مسائي ▏ ❾ '!$AJ$25:$AL$25</c:f>
              <c:numCache>
                <c:formatCode>General</c:formatCode>
                <c:ptCount val="3"/>
                <c:pt idx="0">
                  <c:v>33</c:v>
                </c:pt>
                <c:pt idx="1">
                  <c:v>88</c:v>
                </c:pt>
                <c:pt idx="2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33-45BF-879E-90136AFE3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'!$C$26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7-466B-A859-575E1B1F72E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'!$D$26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A7-466B-A859-575E1B1F72E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'!$E$26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A7-466B-A859-575E1B1F72E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'!$F$26</c:f>
              <c:numCache>
                <c:formatCode>0.00</c:formatCode>
                <c:ptCount val="1"/>
                <c:pt idx="0">
                  <c:v>11.111111111111111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A7-466B-A859-575E1B1F72EF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'!$G$26</c:f>
              <c:numCache>
                <c:formatCode>0.00</c:formatCode>
                <c:ptCount val="1"/>
                <c:pt idx="0">
                  <c:v>59.259259259259252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A7-466B-A859-575E1B1F72EF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'!$I$26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5A7-466B-A859-575E1B1F72EF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'!$J$26</c:f>
              <c:numCache>
                <c:formatCode>0.00</c:formatCode>
                <c:ptCount val="1"/>
                <c:pt idx="0">
                  <c:v>55.555555555555557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A7-466B-A859-575E1B1F72EF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'!$K$26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5A7-466B-A859-575E1B1F72EF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'!$L$26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A7-466B-A859-575E1B1F72EF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'!$N$26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5A7-466B-A859-575E1B1F72EF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'!$O$26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5A7-466B-A859-575E1B1F72EF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'!$Q$26</c:f>
              <c:numCache>
                <c:formatCode>0.00</c:formatCode>
                <c:ptCount val="1"/>
                <c:pt idx="0">
                  <c:v>22.222222222222221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5A7-466B-A859-575E1B1F72EF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'!$R$26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5A7-466B-A859-575E1B1F72EF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'!$S$26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5A7-466B-A859-575E1B1F72EF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'!$T$26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5A7-466B-A859-575E1B1F72EF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5A7-466B-A859-575E1B1F72EF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'!$V$26</c:f>
              <c:numCache>
                <c:formatCode>0.00</c:formatCode>
                <c:ptCount val="1"/>
                <c:pt idx="0">
                  <c:v>44.444444444444443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5A7-466B-A859-575E1B1F72EF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'!$W$26</c:f>
              <c:numCache>
                <c:formatCode>0.00</c:formatCode>
                <c:ptCount val="1"/>
                <c:pt idx="0">
                  <c:v>40.740740740740748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5A7-466B-A859-575E1B1F72EF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'!$X$26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5A7-466B-A859-575E1B1F72EF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'!$Y$26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5A7-466B-A859-575E1B1F72EF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'!$Z$26</c:f>
              <c:numCache>
                <c:formatCode>0.00</c:formatCode>
                <c:ptCount val="1"/>
                <c:pt idx="0">
                  <c:v>88.888888888888886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5A7-466B-A859-575E1B1F72EF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'!$AA$26</c:f>
              <c:numCache>
                <c:formatCode>0.00</c:formatCode>
                <c:ptCount val="1"/>
                <c:pt idx="0">
                  <c:v>33.333333333333329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5A7-466B-A859-575E1B1F72EF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'!$AB$26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5A7-466B-A859-575E1B1F72EF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5A7-466B-A859-575E1B1F72EF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'!$AD$26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A7-466B-A859-575E1B1F72EF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'!$AE$26</c:f>
              <c:numCache>
                <c:formatCode>0.00</c:formatCode>
                <c:ptCount val="1"/>
                <c:pt idx="0">
                  <c:v>11.111111111111111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5A7-466B-A859-575E1B1F72EF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'!$AF$26</c:f>
              <c:numCache>
                <c:formatCode>0.00</c:formatCode>
                <c:ptCount val="1"/>
                <c:pt idx="0">
                  <c:v>77.777777777777786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5A7-466B-A859-575E1B1F72EF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'!$AG$26</c:f>
              <c:numCache>
                <c:formatCode>0.00</c:formatCode>
                <c:ptCount val="1"/>
                <c:pt idx="0">
                  <c:v>66.666666666666657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5A7-466B-A859-575E1B1F72EF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'كـمياء ▏ مسائي ▏ ❾ '!$AH$26</c:f>
              <c:numCache>
                <c:formatCode>0.00</c:formatCode>
                <c:ptCount val="1"/>
                <c:pt idx="0">
                  <c:v>16.666666666666664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5A7-466B-A859-575E1B1F72EF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'التاسع كيمياء مسائي     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5A7-466B-A859-575E1B1F72EF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5A7-466B-A859-575E1B1F72EF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5A7-466B-A859-575E1B1F7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693"/>
          <c:y val="3.6532123458441472E-2"/>
          <c:w val="0.53175508296380702"/>
          <c:h val="0.8975385403115442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CE-4A34-9AB0-CE1D69429DD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CE-4A34-9AB0-CE1D69429DD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CE-4A34-9AB0-CE1D69429DD1}"/>
              </c:ext>
            </c:extLst>
          </c:dPt>
          <c:val>
            <c:numRef>
              <c:f>' كيمياء𒁹❿ '!$AR$25:$AT$25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CE-4A34-9AB0-CE1D69429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OM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 كيمياء𒁹❿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DD-44C5-B3B2-2FA9DCD476E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 كيمياء𒁹❿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DD-44C5-B3B2-2FA9DCD476E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 كيمياء𒁹❿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DD-44C5-B3B2-2FA9DCD476E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 كيمياء𒁹❿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DD-44C5-B3B2-2FA9DCD476E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 كيمياء𒁹❿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DD-44C5-B3B2-2FA9DCD476E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 كيمياء𒁹❿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0DD-44C5-B3B2-2FA9DCD476E7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DD-44C5-B3B2-2FA9DCD476E7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0DD-44C5-B3B2-2FA9DCD476E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DD-44C5-B3B2-2FA9DCD476E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0DD-44C5-B3B2-2FA9DCD476E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DD-44C5-B3B2-2FA9DCD476E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0DD-44C5-B3B2-2FA9DCD476E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DD-44C5-B3B2-2FA9DCD476E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0DD-44C5-B3B2-2FA9DCD476E7}"/>
            </c:ext>
          </c:extLst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0DD-44C5-B3B2-2FA9DCD476E7}"/>
            </c:ext>
          </c:extLst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0DD-44C5-B3B2-2FA9DCD476E7}"/>
            </c:ext>
          </c:extLst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B0DD-44C5-B3B2-2FA9DCD476E7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0DD-44C5-B3B2-2FA9DCD476E7}"/>
            </c:ext>
          </c:extLst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B0DD-44C5-B3B2-2FA9DCD476E7}"/>
            </c:ext>
          </c:extLst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B0DD-44C5-B3B2-2FA9DCD476E7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0DD-44C5-B3B2-2FA9DCD476E7}"/>
            </c:ext>
          </c:extLst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B0DD-44C5-B3B2-2FA9DCD476E7}"/>
            </c:ext>
          </c:extLst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0DD-44C5-B3B2-2FA9DCD476E7}"/>
            </c:ext>
          </c:extLst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B0DD-44C5-B3B2-2FA9DCD476E7}"/>
            </c:ext>
          </c:extLst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0DD-44C5-B3B2-2FA9DCD476E7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B0DD-44C5-B3B2-2FA9DCD476E7}"/>
            </c:ext>
          </c:extLst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B0DD-44C5-B3B2-2FA9DCD476E7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B0DD-44C5-B3B2-2FA9DCD476E7}"/>
            </c:ext>
          </c:extLst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'!$AO$26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B0DD-44C5-B3B2-2FA9DCD476E7}"/>
            </c:ext>
          </c:extLst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 كيمياء𒁹❿ '!$AP$26</c:f>
              <c:numCache>
                <c:formatCode>0.00</c:formatCode>
                <c:ptCount val="1"/>
                <c:pt idx="0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B0DD-44C5-B3B2-2FA9DCD476E7}"/>
            </c:ext>
          </c:extLst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B0DD-44C5-B3B2-2FA9DCD476E7}"/>
            </c:ext>
          </c:extLst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'الخامس صباحي  '!#REF!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B0DD-44C5-B3B2-2FA9DCD47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OM"/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OM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288901</xdr:colOff>
      <xdr:row>13</xdr:row>
      <xdr:rowOff>174123</xdr:rowOff>
    </xdr:from>
    <xdr:ext cx="184730" cy="530658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D6DFFD3-DB3A-4CE7-A253-0F663D6169C2}"/>
            </a:ext>
          </a:extLst>
        </xdr:cNvPr>
        <xdr:cNvSpPr/>
      </xdr:nvSpPr>
      <xdr:spPr>
        <a:xfrm>
          <a:off x="9981116769" y="2964948"/>
          <a:ext cx="184730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28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twoCellAnchor editAs="oneCell">
    <xdr:from>
      <xdr:col>9</xdr:col>
      <xdr:colOff>323850</xdr:colOff>
      <xdr:row>0</xdr:row>
      <xdr:rowOff>95250</xdr:rowOff>
    </xdr:from>
    <xdr:to>
      <xdr:col>12</xdr:col>
      <xdr:colOff>595045</xdr:colOff>
      <xdr:row>6</xdr:row>
      <xdr:rowOff>161926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45D8F8AF-2186-4315-96A4-E0135A770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538405" y="95250"/>
          <a:ext cx="2099995" cy="1524001"/>
        </a:xfrm>
        <a:prstGeom prst="rect">
          <a:avLst/>
        </a:prstGeom>
      </xdr:spPr>
    </xdr:pic>
    <xdr:clientData/>
  </xdr:twoCellAnchor>
  <xdr:twoCellAnchor>
    <xdr:from>
      <xdr:col>13</xdr:col>
      <xdr:colOff>485489</xdr:colOff>
      <xdr:row>0</xdr:row>
      <xdr:rowOff>81803</xdr:rowOff>
    </xdr:from>
    <xdr:to>
      <xdr:col>13</xdr:col>
      <xdr:colOff>2706495</xdr:colOff>
      <xdr:row>2</xdr:row>
      <xdr:rowOff>131977</xdr:rowOff>
    </xdr:to>
    <xdr:sp macro="" textlink="">
      <xdr:nvSpPr>
        <xdr:cNvPr id="3" name="مستطيل: مشطوف الحواف 2">
          <a:extLst>
            <a:ext uri="{FF2B5EF4-FFF2-40B4-BE49-F238E27FC236}">
              <a16:creationId xmlns:a16="http://schemas.microsoft.com/office/drawing/2014/main" id="{0FEBA77A-5DDC-4874-9721-85FAC82F56A8}"/>
            </a:ext>
          </a:extLst>
        </xdr:cNvPr>
        <xdr:cNvSpPr/>
      </xdr:nvSpPr>
      <xdr:spPr>
        <a:xfrm>
          <a:off x="9979817355" y="81803"/>
          <a:ext cx="2221006" cy="640724"/>
        </a:xfrm>
        <a:prstGeom prst="bevel">
          <a:avLst/>
        </a:prstGeom>
        <a:solidFill>
          <a:schemeClr val="accent4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OM" sz="2400" b="1">
              <a:solidFill>
                <a:srgbClr val="FFFF0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الفــترة الصباحية</a:t>
          </a:r>
        </a:p>
      </xdr:txBody>
    </xdr:sp>
    <xdr:clientData/>
  </xdr:twoCellAnchor>
  <xdr:twoCellAnchor>
    <xdr:from>
      <xdr:col>13</xdr:col>
      <xdr:colOff>487170</xdr:colOff>
      <xdr:row>3</xdr:row>
      <xdr:rowOff>62753</xdr:rowOff>
    </xdr:from>
    <xdr:to>
      <xdr:col>13</xdr:col>
      <xdr:colOff>2708176</xdr:colOff>
      <xdr:row>6</xdr:row>
      <xdr:rowOff>131977</xdr:rowOff>
    </xdr:to>
    <xdr:sp macro="" textlink="">
      <xdr:nvSpPr>
        <xdr:cNvPr id="4" name="مستطيل: مشطوف الحواف 3">
          <a:extLst>
            <a:ext uri="{FF2B5EF4-FFF2-40B4-BE49-F238E27FC236}">
              <a16:creationId xmlns:a16="http://schemas.microsoft.com/office/drawing/2014/main" id="{0C033E64-C61E-4066-84CA-62BC241BBC08}"/>
            </a:ext>
          </a:extLst>
        </xdr:cNvPr>
        <xdr:cNvSpPr/>
      </xdr:nvSpPr>
      <xdr:spPr>
        <a:xfrm>
          <a:off x="9979815674" y="948578"/>
          <a:ext cx="2221006" cy="640724"/>
        </a:xfrm>
        <a:prstGeom prst="bevel">
          <a:avLst/>
        </a:prstGeom>
        <a:solidFill>
          <a:srgbClr val="FFC000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OM" sz="2400" b="1">
              <a:solidFill>
                <a:sysClr val="windowText" lastClr="00000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الفــترة المسائية</a:t>
          </a:r>
        </a:p>
      </xdr:txBody>
    </xdr:sp>
    <xdr:clientData/>
  </xdr:twoCellAnchor>
  <xdr:twoCellAnchor editAs="oneCell">
    <xdr:from>
      <xdr:col>2</xdr:col>
      <xdr:colOff>0</xdr:colOff>
      <xdr:row>0</xdr:row>
      <xdr:rowOff>123825</xdr:rowOff>
    </xdr:from>
    <xdr:to>
      <xdr:col>6</xdr:col>
      <xdr:colOff>96078</xdr:colOff>
      <xdr:row>3</xdr:row>
      <xdr:rowOff>47625</xdr:rowOff>
    </xdr:to>
    <xdr:pic>
      <xdr:nvPicPr>
        <xdr:cNvPr id="6" name="صورة 5">
          <a:extLst>
            <a:ext uri="{FF2B5EF4-FFF2-40B4-BE49-F238E27FC236}">
              <a16:creationId xmlns:a16="http://schemas.microsoft.com/office/drawing/2014/main" id="{32D4EF0A-125B-EE1C-016C-6BE43484A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6694972" y="123825"/>
          <a:ext cx="2534478" cy="809625"/>
        </a:xfrm>
        <a:prstGeom prst="rect">
          <a:avLst/>
        </a:prstGeom>
      </xdr:spPr>
    </xdr:pic>
    <xdr:clientData/>
  </xdr:twoCellAnchor>
  <xdr:twoCellAnchor>
    <xdr:from>
      <xdr:col>1</xdr:col>
      <xdr:colOff>561974</xdr:colOff>
      <xdr:row>3</xdr:row>
      <xdr:rowOff>114300</xdr:rowOff>
    </xdr:from>
    <xdr:to>
      <xdr:col>6</xdr:col>
      <xdr:colOff>238124</xdr:colOff>
      <xdr:row>6</xdr:row>
      <xdr:rowOff>161925</xdr:rowOff>
    </xdr:to>
    <xdr:sp macro="" textlink="">
      <xdr:nvSpPr>
        <xdr:cNvPr id="7" name="مربع نص 6">
          <a:extLst>
            <a:ext uri="{FF2B5EF4-FFF2-40B4-BE49-F238E27FC236}">
              <a16:creationId xmlns:a16="http://schemas.microsoft.com/office/drawing/2014/main" id="{455A43D8-A66F-8FA0-02B6-377963DD6C08}"/>
            </a:ext>
          </a:extLst>
        </xdr:cNvPr>
        <xdr:cNvSpPr txBox="1"/>
      </xdr:nvSpPr>
      <xdr:spPr>
        <a:xfrm>
          <a:off x="9986552926" y="1000125"/>
          <a:ext cx="2724150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OM" sz="1400" b="1" u="sng">
              <a:latin typeface="Sakkal Majalla" panose="02000000000000000000" pitchFamily="2" charset="-78"/>
              <a:cs typeface="Sakkal Majalla" panose="02000000000000000000" pitchFamily="2" charset="-78"/>
            </a:rPr>
            <a:t>المدير</a:t>
          </a:r>
          <a: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  <a:t>ية العامة للتربية والتعليم بمحافظة ظفار </a:t>
          </a:r>
          <a:b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</a:br>
          <a: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  <a:t>دائرة الاشراف التربوي - وحدة اشراف الكيمياء</a:t>
          </a:r>
          <a:endParaRPr lang="en-US" sz="1400" b="1" u="sng"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  <xdr:twoCellAnchor editAs="oneCell">
    <xdr:from>
      <xdr:col>6</xdr:col>
      <xdr:colOff>558980</xdr:colOff>
      <xdr:row>0</xdr:row>
      <xdr:rowOff>133350</xdr:rowOff>
    </xdr:from>
    <xdr:to>
      <xdr:col>9</xdr:col>
      <xdr:colOff>181</xdr:colOff>
      <xdr:row>6</xdr:row>
      <xdr:rowOff>104775</xdr:rowOff>
    </xdr:to>
    <xdr:pic>
      <xdr:nvPicPr>
        <xdr:cNvPr id="9" name="صورة 8">
          <a:extLst>
            <a:ext uri="{FF2B5EF4-FFF2-40B4-BE49-F238E27FC236}">
              <a16:creationId xmlns:a16="http://schemas.microsoft.com/office/drawing/2014/main" id="{2E8544F2-0E5C-A29F-C9EE-4EBD28331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962069" y="133350"/>
          <a:ext cx="1270001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32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D98F89E6-68FF-47BA-8E24-7B0DF9065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4" name="مخطط 3">
          <a:extLst>
            <a:ext uri="{FF2B5EF4-FFF2-40B4-BE49-F238E27FC236}">
              <a16:creationId xmlns:a16="http://schemas.microsoft.com/office/drawing/2014/main" id="{BCA7720B-AC7E-789B-E5DB-6D96DE8FB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31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DA7282E2-BFEF-4232-BE53-DB021F656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FC3F5CBC-4597-432E-8250-B7908A66E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7A8ACDD9-817E-4B01-A8A0-7926E9824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D7A849C9-AC8B-47C2-861F-AC5DB4D4D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9250B4C-7214-4C8C-8D09-99F625B865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0D34AD2B-FF92-4A76-A63B-FF95CB4A27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179457</xdr:colOff>
      <xdr:row>30</xdr:row>
      <xdr:rowOff>69695</xdr:rowOff>
    </xdr:from>
    <xdr:to>
      <xdr:col>33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2216E770-F62E-4BA6-AB0A-5B2D656D2F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13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205CB5A7-61D8-4C1B-8BF9-51BF371B5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179457</xdr:colOff>
      <xdr:row>30</xdr:row>
      <xdr:rowOff>69695</xdr:rowOff>
    </xdr:from>
    <xdr:to>
      <xdr:col>33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A914374-D848-44C7-9E19-5D41D6F96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14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09DA035A-1865-4063-AD88-031B4DFD36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179457</xdr:colOff>
      <xdr:row>30</xdr:row>
      <xdr:rowOff>69695</xdr:rowOff>
    </xdr:from>
    <xdr:to>
      <xdr:col>36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E26B884F-4579-4CB0-BF54-0FE3E60AF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18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92243537-EBC9-4F12-B4D8-13BF3FD61E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38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F65322F8-8D46-443A-88A0-7A0CCC2FA5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16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A5630012-AE71-4411-A55C-C71285054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69DDE3D7-2F95-4133-AB80-3BD8419F74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19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F98252E2-CD8E-4720-AC46-ABAAD3EBE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179457</xdr:colOff>
      <xdr:row>30</xdr:row>
      <xdr:rowOff>69695</xdr:rowOff>
    </xdr:from>
    <xdr:to>
      <xdr:col>34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3C8A3C03-E4C9-49C6-8762-E6730706A2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20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E9AFBBE-DECF-4354-8188-CBF875DBFD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179457</xdr:colOff>
      <xdr:row>30</xdr:row>
      <xdr:rowOff>69695</xdr:rowOff>
    </xdr:from>
    <xdr:to>
      <xdr:col>42</xdr:col>
      <xdr:colOff>250348</xdr:colOff>
      <xdr:row>57</xdr:row>
      <xdr:rowOff>177800</xdr:rowOff>
    </xdr:to>
    <xdr:graphicFrame macro="">
      <xdr:nvGraphicFramePr>
        <xdr:cNvPr id="2" name="مخطط 1">
          <a:extLst>
            <a:ext uri="{FF2B5EF4-FFF2-40B4-BE49-F238E27FC236}">
              <a16:creationId xmlns:a16="http://schemas.microsoft.com/office/drawing/2014/main" id="{99913AB7-93B1-4FE5-B964-4832CC1B9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26</xdr:col>
      <xdr:colOff>612689</xdr:colOff>
      <xdr:row>58</xdr:row>
      <xdr:rowOff>128715</xdr:rowOff>
    </xdr:to>
    <xdr:graphicFrame macro="">
      <xdr:nvGraphicFramePr>
        <xdr:cNvPr id="3" name="مخطط 2">
          <a:extLst>
            <a:ext uri="{FF2B5EF4-FFF2-40B4-BE49-F238E27FC236}">
              <a16:creationId xmlns:a16="http://schemas.microsoft.com/office/drawing/2014/main" id="{CA820220-2D7C-45A9-8238-F4C083E9F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D2:D5" totalsRowShown="0" dataDxfId="1">
  <autoFilter ref="D2:D5"/>
  <tableColumns count="1">
    <tableColumn id="1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O21"/>
  <sheetViews>
    <sheetView rightToLeft="1" tabSelected="1" zoomScaleNormal="100" workbookViewId="0">
      <selection activeCell="F14" sqref="F14:M14"/>
    </sheetView>
  </sheetViews>
  <sheetFormatPr defaultRowHeight="14.25"/>
  <cols>
    <col min="14" max="14" width="40.875" customWidth="1"/>
    <col min="15" max="15" width="18.875" customWidth="1"/>
  </cols>
  <sheetData>
    <row r="1" spans="3:14" ht="23.25">
      <c r="C1" s="46"/>
      <c r="D1" s="46"/>
      <c r="E1" s="46"/>
      <c r="F1" s="46"/>
      <c r="G1" s="47"/>
      <c r="H1" s="47"/>
      <c r="I1" s="47"/>
      <c r="J1" s="47"/>
      <c r="K1" s="47"/>
      <c r="L1" s="47"/>
      <c r="M1" s="46"/>
      <c r="N1" s="46"/>
    </row>
    <row r="2" spans="3:14" ht="23.25">
      <c r="C2" s="46"/>
      <c r="D2" s="46"/>
      <c r="E2" s="46"/>
      <c r="F2" s="46"/>
      <c r="G2" s="47"/>
      <c r="H2" s="47"/>
      <c r="I2" s="47"/>
      <c r="J2" s="47"/>
      <c r="K2" s="47"/>
      <c r="L2" s="47"/>
      <c r="M2" s="46"/>
      <c r="N2" s="46"/>
    </row>
    <row r="3" spans="3:14" ht="23.25">
      <c r="C3" s="46"/>
      <c r="D3" s="46"/>
      <c r="E3" s="46"/>
      <c r="F3" s="46"/>
      <c r="G3" s="47"/>
      <c r="H3" s="47"/>
      <c r="I3" s="47"/>
      <c r="J3" s="47"/>
      <c r="K3" s="47"/>
      <c r="L3" s="47"/>
      <c r="M3" s="46"/>
      <c r="N3" s="46"/>
    </row>
    <row r="4" spans="3:14" ht="15">
      <c r="C4" s="46"/>
      <c r="D4" s="46"/>
      <c r="E4" s="46"/>
      <c r="F4" s="46"/>
      <c r="G4" s="48"/>
      <c r="H4" s="48"/>
      <c r="I4" s="48"/>
      <c r="J4" s="48"/>
      <c r="K4" s="48"/>
      <c r="L4" s="48"/>
      <c r="M4" s="46"/>
      <c r="N4" s="46"/>
    </row>
    <row r="5" spans="3:14"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</row>
    <row r="6" spans="3:14"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</row>
    <row r="7" spans="3:14"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</row>
    <row r="8" spans="3:14" ht="15" customHeight="1">
      <c r="C8" s="69" t="s">
        <v>112</v>
      </c>
      <c r="D8" s="70"/>
      <c r="E8" s="70"/>
      <c r="F8" s="70"/>
      <c r="G8" s="70"/>
      <c r="H8" s="70"/>
      <c r="I8" s="70"/>
      <c r="J8" s="70"/>
      <c r="K8" s="70"/>
      <c r="L8" s="70"/>
      <c r="M8" s="70"/>
      <c r="N8" s="71"/>
    </row>
    <row r="9" spans="3:14" ht="15" customHeight="1">
      <c r="C9" s="72"/>
      <c r="D9" s="73"/>
      <c r="E9" s="73"/>
      <c r="F9" s="73"/>
      <c r="G9" s="73"/>
      <c r="H9" s="73"/>
      <c r="I9" s="73"/>
      <c r="J9" s="73"/>
      <c r="K9" s="73"/>
      <c r="L9" s="73"/>
      <c r="M9" s="73"/>
      <c r="N9" s="74"/>
    </row>
    <row r="10" spans="3:14" ht="15" thickBot="1"/>
    <row r="11" spans="3:14" ht="28.5" thickBot="1">
      <c r="C11" s="66" t="s">
        <v>0</v>
      </c>
      <c r="D11" s="67"/>
      <c r="E11" s="67"/>
      <c r="F11" s="68" t="s">
        <v>123</v>
      </c>
      <c r="G11" s="68"/>
      <c r="H11" s="68"/>
      <c r="I11" s="68"/>
      <c r="J11" s="68"/>
      <c r="K11" s="68"/>
      <c r="L11" s="68"/>
      <c r="M11" s="68"/>
    </row>
    <row r="12" spans="3:14" ht="28.5" thickBot="1">
      <c r="C12" s="66" t="s">
        <v>12</v>
      </c>
      <c r="D12" s="67"/>
      <c r="E12" s="67"/>
      <c r="F12" s="68" t="s">
        <v>124</v>
      </c>
      <c r="G12" s="68"/>
      <c r="H12" s="68"/>
      <c r="I12" s="68"/>
      <c r="J12" s="68"/>
      <c r="K12" s="68"/>
      <c r="L12" s="68"/>
      <c r="M12" s="68"/>
    </row>
    <row r="13" spans="3:14" ht="28.5" thickBot="1">
      <c r="C13" s="66" t="s">
        <v>1</v>
      </c>
      <c r="D13" s="67"/>
      <c r="E13" s="67"/>
      <c r="F13" s="68" t="s">
        <v>126</v>
      </c>
      <c r="G13" s="68"/>
      <c r="H13" s="68"/>
      <c r="I13" s="68"/>
      <c r="J13" s="68"/>
      <c r="K13" s="68"/>
      <c r="L13" s="68"/>
      <c r="M13" s="68"/>
    </row>
    <row r="14" spans="3:14" ht="28.5" thickBot="1">
      <c r="C14" s="66" t="s">
        <v>5</v>
      </c>
      <c r="D14" s="67"/>
      <c r="E14" s="67"/>
      <c r="F14" s="68">
        <v>16207230</v>
      </c>
      <c r="G14" s="68"/>
      <c r="H14" s="68"/>
      <c r="I14" s="68"/>
      <c r="J14" s="68"/>
      <c r="K14" s="68"/>
      <c r="L14" s="68"/>
      <c r="M14" s="68"/>
    </row>
    <row r="15" spans="3:14" ht="28.5" thickBot="1">
      <c r="C15" s="66" t="s">
        <v>6</v>
      </c>
      <c r="D15" s="67"/>
      <c r="E15" s="67"/>
      <c r="F15" s="68" t="s">
        <v>125</v>
      </c>
      <c r="G15" s="68"/>
      <c r="H15" s="68"/>
      <c r="I15" s="68"/>
      <c r="J15" s="68"/>
      <c r="K15" s="68"/>
      <c r="L15" s="68"/>
      <c r="M15" s="68"/>
    </row>
    <row r="16" spans="3:14" ht="15" thickBot="1"/>
    <row r="17" spans="1:15" ht="23.25">
      <c r="B17" s="57" t="s">
        <v>11</v>
      </c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9"/>
    </row>
    <row r="18" spans="1:15" ht="23.25">
      <c r="B18" s="60" t="s">
        <v>107</v>
      </c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2"/>
    </row>
    <row r="19" spans="1:15" ht="23.25">
      <c r="B19" s="63" t="s">
        <v>111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5"/>
    </row>
    <row r="20" spans="1:15" ht="23.25">
      <c r="A20" s="54"/>
      <c r="B20" s="53" t="s">
        <v>108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1"/>
      <c r="O20" s="52"/>
    </row>
    <row r="21" spans="1:15" ht="23.25">
      <c r="A21" s="54"/>
      <c r="B21" s="55" t="s">
        <v>109</v>
      </c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6"/>
    </row>
  </sheetData>
  <mergeCells count="15">
    <mergeCell ref="C8:N9"/>
    <mergeCell ref="C14:E14"/>
    <mergeCell ref="C15:E15"/>
    <mergeCell ref="F12:M12"/>
    <mergeCell ref="F13:M13"/>
    <mergeCell ref="F14:M14"/>
    <mergeCell ref="F15:M15"/>
    <mergeCell ref="C12:E12"/>
    <mergeCell ref="C13:E13"/>
    <mergeCell ref="B21:N21"/>
    <mergeCell ref="B17:N17"/>
    <mergeCell ref="B18:N18"/>
    <mergeCell ref="B19:N19"/>
    <mergeCell ref="C11:E11"/>
    <mergeCell ref="F11:M11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3:AQ58"/>
  <sheetViews>
    <sheetView rightToLeft="1" zoomScale="70" zoomScaleNormal="70" workbookViewId="0">
      <pane ySplit="4" topLeftCell="A6" activePane="bottomLeft" state="frozen"/>
      <selection activeCell="D1" sqref="D1"/>
      <selection pane="bottomLeft" activeCell="B18" sqref="B18"/>
    </sheetView>
  </sheetViews>
  <sheetFormatPr defaultRowHeight="14.25"/>
  <cols>
    <col min="1" max="1" width="4" style="2" customWidth="1"/>
    <col min="2" max="2" width="37.125" style="2" customWidth="1"/>
    <col min="3" max="32" width="11.875" bestFit="1" customWidth="1"/>
    <col min="33" max="33" width="11.25" bestFit="1" customWidth="1"/>
    <col min="34" max="34" width="14.625" customWidth="1"/>
    <col min="35" max="35" width="20.125" customWidth="1"/>
    <col min="36" max="36" width="16.25" customWidth="1"/>
    <col min="37" max="37" width="9.125" customWidth="1"/>
    <col min="38" max="38" width="0.25" customWidth="1"/>
    <col min="39" max="39" width="16.75" customWidth="1"/>
    <col min="40" max="40" width="16" customWidth="1"/>
    <col min="41" max="41" width="15.25" customWidth="1"/>
    <col min="42" max="42" width="15.625" customWidth="1"/>
    <col min="43" max="43" width="16" customWidth="1"/>
  </cols>
  <sheetData>
    <row r="3" spans="1:43" ht="50.25" customHeight="1">
      <c r="A3" s="75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 t="s">
        <v>36</v>
      </c>
      <c r="H3" s="8" t="s">
        <v>14</v>
      </c>
      <c r="I3" s="8" t="s">
        <v>3</v>
      </c>
      <c r="J3" s="8" t="s">
        <v>37</v>
      </c>
      <c r="K3" s="8">
        <v>5</v>
      </c>
      <c r="L3" s="8">
        <v>6</v>
      </c>
      <c r="M3" s="8">
        <v>7</v>
      </c>
      <c r="N3" s="8">
        <v>8</v>
      </c>
      <c r="O3" s="8">
        <v>9</v>
      </c>
      <c r="P3" s="8">
        <v>10</v>
      </c>
      <c r="Q3" s="8" t="s">
        <v>20</v>
      </c>
      <c r="R3" s="8" t="s">
        <v>21</v>
      </c>
      <c r="S3" s="8" t="s">
        <v>22</v>
      </c>
      <c r="T3" s="8" t="s">
        <v>23</v>
      </c>
      <c r="U3" s="8">
        <v>13</v>
      </c>
      <c r="V3" s="8">
        <v>14</v>
      </c>
      <c r="W3" s="8">
        <v>15</v>
      </c>
      <c r="X3" s="8" t="s">
        <v>30</v>
      </c>
      <c r="Y3" s="8" t="s">
        <v>31</v>
      </c>
      <c r="Z3" s="8" t="s">
        <v>38</v>
      </c>
      <c r="AA3" s="8" t="s">
        <v>28</v>
      </c>
      <c r="AB3" s="8">
        <v>18</v>
      </c>
      <c r="AC3" s="8" t="s">
        <v>15</v>
      </c>
      <c r="AD3" s="8" t="s">
        <v>16</v>
      </c>
      <c r="AE3" s="8">
        <v>20</v>
      </c>
      <c r="AF3" s="8">
        <v>21</v>
      </c>
      <c r="AG3" s="24" t="s">
        <v>29</v>
      </c>
      <c r="AH3" s="16" t="s">
        <v>10</v>
      </c>
      <c r="AI3" s="17" t="s">
        <v>9</v>
      </c>
      <c r="AJ3" s="18" t="s">
        <v>8</v>
      </c>
    </row>
    <row r="4" spans="1:43" ht="69" customHeight="1">
      <c r="A4" s="76"/>
      <c r="B4" s="20" t="s">
        <v>18</v>
      </c>
      <c r="C4" s="10"/>
      <c r="D4" s="11"/>
      <c r="E4" s="10"/>
      <c r="F4" s="11"/>
      <c r="G4" s="14"/>
      <c r="H4" s="10"/>
      <c r="I4" s="14"/>
      <c r="J4" s="11"/>
      <c r="K4" s="10"/>
      <c r="L4" s="10"/>
      <c r="M4" s="10"/>
      <c r="N4" s="11"/>
      <c r="O4" s="12"/>
      <c r="P4" s="15"/>
      <c r="Q4" s="13"/>
      <c r="R4" s="15"/>
      <c r="S4" s="13"/>
      <c r="T4" s="15"/>
      <c r="U4" s="13"/>
      <c r="V4" s="12"/>
      <c r="W4" s="15"/>
      <c r="X4" s="15"/>
      <c r="Y4" s="13"/>
      <c r="Z4" s="12"/>
      <c r="AA4" s="13"/>
      <c r="AB4" s="15"/>
      <c r="AC4" s="25"/>
      <c r="AD4" s="25"/>
      <c r="AE4" s="26"/>
      <c r="AF4" s="26"/>
      <c r="AG4" s="26">
        <f t="shared" ref="AG4:AG24" si="0">SUM(C4:AF4)</f>
        <v>0</v>
      </c>
      <c r="AH4" s="14">
        <f>AB4+X4+W4+T4+R4+P4+I4+G4</f>
        <v>0</v>
      </c>
      <c r="AI4" s="11">
        <f>AD4+AC4+AA4+Y4+U4+S4+Q4+N4+J4+F4+D4</f>
        <v>0</v>
      </c>
      <c r="AJ4" s="10">
        <f>AF4+AE4+Z4+V4+O4+M4+L4+K4+H4+E4+C4</f>
        <v>0</v>
      </c>
      <c r="AM4" s="27" t="s">
        <v>39</v>
      </c>
      <c r="AN4" s="14" t="s">
        <v>40</v>
      </c>
      <c r="AO4" s="10" t="s">
        <v>41</v>
      </c>
      <c r="AP4" s="28" t="s">
        <v>42</v>
      </c>
      <c r="AQ4" s="11" t="s">
        <v>43</v>
      </c>
    </row>
    <row r="5" spans="1:43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26">
        <f t="shared" si="0"/>
        <v>0</v>
      </c>
      <c r="AH5" s="14">
        <f t="shared" ref="AH5:AH24" si="1">AB5+X5+W5+T5+R5+P5+I5+G5</f>
        <v>0</v>
      </c>
      <c r="AI5" s="11">
        <f t="shared" ref="AI5:AI24" si="2">AD5+AC5+AA5+Y5+U5+S5+Q5+N5+J5+F5+D5</f>
        <v>0</v>
      </c>
      <c r="AJ5" s="10">
        <f t="shared" ref="AJ5:AJ24" si="3">AF5+AE5+Z5+V5+O5+M5+L5+K5+H5+E5+C5</f>
        <v>0</v>
      </c>
      <c r="AM5" s="29" t="s">
        <v>44</v>
      </c>
      <c r="AN5" s="14" t="s">
        <v>45</v>
      </c>
      <c r="AO5" s="10" t="s">
        <v>46</v>
      </c>
      <c r="AP5" s="28" t="s">
        <v>47</v>
      </c>
      <c r="AQ5" s="11" t="s">
        <v>48</v>
      </c>
    </row>
    <row r="6" spans="1:43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26">
        <f t="shared" si="0"/>
        <v>0</v>
      </c>
      <c r="AH6" s="14">
        <f t="shared" si="1"/>
        <v>0</v>
      </c>
      <c r="AI6" s="11">
        <f t="shared" si="2"/>
        <v>0</v>
      </c>
      <c r="AJ6" s="10">
        <f t="shared" si="3"/>
        <v>0</v>
      </c>
      <c r="AM6">
        <v>71</v>
      </c>
      <c r="AN6">
        <v>71</v>
      </c>
      <c r="AO6">
        <v>71</v>
      </c>
      <c r="AP6">
        <v>71</v>
      </c>
      <c r="AQ6">
        <v>71</v>
      </c>
    </row>
    <row r="7" spans="1:43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26">
        <f t="shared" si="0"/>
        <v>0</v>
      </c>
      <c r="AH7" s="14">
        <f t="shared" si="1"/>
        <v>0</v>
      </c>
      <c r="AI7" s="11">
        <f t="shared" si="2"/>
        <v>0</v>
      </c>
      <c r="AJ7" s="10">
        <f t="shared" si="3"/>
        <v>0</v>
      </c>
    </row>
    <row r="8" spans="1:43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26">
        <f t="shared" si="0"/>
        <v>0</v>
      </c>
      <c r="AH8" s="14">
        <f t="shared" si="1"/>
        <v>0</v>
      </c>
      <c r="AI8" s="11">
        <f t="shared" si="2"/>
        <v>0</v>
      </c>
      <c r="AJ8" s="10">
        <f t="shared" si="3"/>
        <v>0</v>
      </c>
    </row>
    <row r="9" spans="1:43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26">
        <f t="shared" si="0"/>
        <v>0</v>
      </c>
      <c r="AH9" s="14">
        <f t="shared" si="1"/>
        <v>0</v>
      </c>
      <c r="AI9" s="11">
        <f t="shared" si="2"/>
        <v>0</v>
      </c>
      <c r="AJ9" s="10">
        <f t="shared" si="3"/>
        <v>0</v>
      </c>
    </row>
    <row r="10" spans="1:43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26">
        <f t="shared" si="0"/>
        <v>0</v>
      </c>
      <c r="AH10" s="14">
        <f t="shared" si="1"/>
        <v>0</v>
      </c>
      <c r="AI10" s="11">
        <f t="shared" si="2"/>
        <v>0</v>
      </c>
      <c r="AJ10" s="10">
        <f t="shared" si="3"/>
        <v>0</v>
      </c>
    </row>
    <row r="11" spans="1:43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26">
        <f t="shared" si="0"/>
        <v>0</v>
      </c>
      <c r="AH11" s="14">
        <f t="shared" si="1"/>
        <v>0</v>
      </c>
      <c r="AI11" s="11">
        <f t="shared" si="2"/>
        <v>0</v>
      </c>
      <c r="AJ11" s="10">
        <f t="shared" si="3"/>
        <v>0</v>
      </c>
    </row>
    <row r="12" spans="1:43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26">
        <f t="shared" si="0"/>
        <v>0</v>
      </c>
      <c r="AH12" s="14">
        <f t="shared" si="1"/>
        <v>0</v>
      </c>
      <c r="AI12" s="11">
        <f t="shared" si="2"/>
        <v>0</v>
      </c>
      <c r="AJ12" s="10">
        <f t="shared" si="3"/>
        <v>0</v>
      </c>
    </row>
    <row r="13" spans="1:43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26">
        <f t="shared" si="0"/>
        <v>0</v>
      </c>
      <c r="AH13" s="14">
        <f t="shared" si="1"/>
        <v>0</v>
      </c>
      <c r="AI13" s="11">
        <f t="shared" si="2"/>
        <v>0</v>
      </c>
      <c r="AJ13" s="10">
        <f t="shared" si="3"/>
        <v>0</v>
      </c>
    </row>
    <row r="14" spans="1:43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26">
        <f t="shared" si="0"/>
        <v>0</v>
      </c>
      <c r="AH14" s="14">
        <f t="shared" si="1"/>
        <v>0</v>
      </c>
      <c r="AI14" s="11">
        <f t="shared" si="2"/>
        <v>0</v>
      </c>
      <c r="AJ14" s="10">
        <f t="shared" si="3"/>
        <v>0</v>
      </c>
    </row>
    <row r="15" spans="1:43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26">
        <f t="shared" si="0"/>
        <v>0</v>
      </c>
      <c r="AH15" s="14">
        <f t="shared" si="1"/>
        <v>0</v>
      </c>
      <c r="AI15" s="11">
        <f t="shared" si="2"/>
        <v>0</v>
      </c>
      <c r="AJ15" s="10">
        <f t="shared" si="3"/>
        <v>0</v>
      </c>
    </row>
    <row r="16" spans="1:43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26">
        <f t="shared" si="0"/>
        <v>0</v>
      </c>
      <c r="AH16" s="14">
        <f t="shared" si="1"/>
        <v>0</v>
      </c>
      <c r="AI16" s="11">
        <f t="shared" si="2"/>
        <v>0</v>
      </c>
      <c r="AJ16" s="10">
        <f t="shared" si="3"/>
        <v>0</v>
      </c>
    </row>
    <row r="17" spans="1:36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26">
        <f t="shared" si="0"/>
        <v>0</v>
      </c>
      <c r="AH17" s="14">
        <f t="shared" si="1"/>
        <v>0</v>
      </c>
      <c r="AI17" s="11">
        <f t="shared" si="2"/>
        <v>0</v>
      </c>
      <c r="AJ17" s="10">
        <f t="shared" si="3"/>
        <v>0</v>
      </c>
    </row>
    <row r="18" spans="1:36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26">
        <f t="shared" si="0"/>
        <v>0</v>
      </c>
      <c r="AH18" s="14">
        <f t="shared" si="1"/>
        <v>0</v>
      </c>
      <c r="AI18" s="11">
        <f t="shared" si="2"/>
        <v>0</v>
      </c>
      <c r="AJ18" s="10">
        <f t="shared" si="3"/>
        <v>0</v>
      </c>
    </row>
    <row r="19" spans="1:36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26">
        <f t="shared" si="0"/>
        <v>0</v>
      </c>
      <c r="AH19" s="14">
        <f t="shared" si="1"/>
        <v>0</v>
      </c>
      <c r="AI19" s="11">
        <f t="shared" si="2"/>
        <v>0</v>
      </c>
      <c r="AJ19" s="10">
        <f t="shared" si="3"/>
        <v>0</v>
      </c>
    </row>
    <row r="20" spans="1:36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26">
        <f t="shared" si="0"/>
        <v>0</v>
      </c>
      <c r="AH20" s="14">
        <f t="shared" si="1"/>
        <v>0</v>
      </c>
      <c r="AI20" s="11">
        <f t="shared" si="2"/>
        <v>0</v>
      </c>
      <c r="AJ20" s="10">
        <f t="shared" si="3"/>
        <v>0</v>
      </c>
    </row>
    <row r="21" spans="1:36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26">
        <f t="shared" si="0"/>
        <v>0</v>
      </c>
      <c r="AH21" s="14">
        <f t="shared" si="1"/>
        <v>0</v>
      </c>
      <c r="AI21" s="11">
        <f t="shared" si="2"/>
        <v>0</v>
      </c>
      <c r="AJ21" s="10">
        <f t="shared" si="3"/>
        <v>0</v>
      </c>
    </row>
    <row r="22" spans="1:36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26">
        <f t="shared" si="0"/>
        <v>0</v>
      </c>
      <c r="AH22" s="14">
        <f t="shared" si="1"/>
        <v>0</v>
      </c>
      <c r="AI22" s="11">
        <f t="shared" si="2"/>
        <v>0</v>
      </c>
      <c r="AJ22" s="10">
        <f t="shared" si="3"/>
        <v>0</v>
      </c>
    </row>
    <row r="23" spans="1:36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26">
        <f t="shared" si="0"/>
        <v>0</v>
      </c>
      <c r="AH23" s="14">
        <f t="shared" si="1"/>
        <v>0</v>
      </c>
      <c r="AI23" s="11">
        <f t="shared" si="2"/>
        <v>0</v>
      </c>
      <c r="AJ23" s="10">
        <f t="shared" si="3"/>
        <v>0</v>
      </c>
    </row>
    <row r="24" spans="1:36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26">
        <f t="shared" si="0"/>
        <v>0</v>
      </c>
      <c r="AH24" s="14">
        <f t="shared" si="1"/>
        <v>0</v>
      </c>
      <c r="AI24" s="11">
        <f t="shared" si="2"/>
        <v>0</v>
      </c>
      <c r="AJ24" s="10">
        <f t="shared" si="3"/>
        <v>0</v>
      </c>
    </row>
    <row r="25" spans="1:36" ht="28.5" thickBot="1">
      <c r="A25" s="77" t="s">
        <v>19</v>
      </c>
      <c r="B25" s="78"/>
      <c r="C25" s="4" t="e">
        <f>AVERAGE(C5:C24)</f>
        <v>#DIV/0!</v>
      </c>
      <c r="D25" s="4" t="e">
        <f t="shared" ref="D25" si="4">AVERAGE(D5:D24)</f>
        <v>#DIV/0!</v>
      </c>
      <c r="E25" s="4" t="e">
        <f t="shared" ref="E25" si="5">AVERAGE(E5:E24)</f>
        <v>#DIV/0!</v>
      </c>
      <c r="F25" s="4" t="e">
        <f t="shared" ref="F25" si="6">AVERAGE(F5:F24)</f>
        <v>#DIV/0!</v>
      </c>
      <c r="G25" s="4" t="e">
        <f t="shared" ref="G25" si="7">AVERAGE(G5:G24)</f>
        <v>#DIV/0!</v>
      </c>
      <c r="H25" s="4" t="e">
        <f t="shared" ref="H25" si="8">AVERAGE(H5:H24)</f>
        <v>#DIV/0!</v>
      </c>
      <c r="I25" s="4" t="e">
        <f t="shared" ref="I25" si="9">AVERAGE(I5:I24)</f>
        <v>#DIV/0!</v>
      </c>
      <c r="J25" s="4" t="e">
        <f t="shared" ref="J25" si="10">AVERAGE(J5:J24)</f>
        <v>#DIV/0!</v>
      </c>
      <c r="K25" s="4" t="e">
        <f t="shared" ref="K25" si="11">AVERAGE(K5:K24)</f>
        <v>#DIV/0!</v>
      </c>
      <c r="L25" s="4" t="e">
        <f t="shared" ref="L25" si="12">AVERAGE(L5:L24)</f>
        <v>#DIV/0!</v>
      </c>
      <c r="M25" s="4" t="e">
        <f t="shared" ref="M25" si="13">AVERAGE(M5:M24)</f>
        <v>#DIV/0!</v>
      </c>
      <c r="N25" s="4" t="e">
        <f t="shared" ref="N25" si="14">AVERAGE(N5:N24)</f>
        <v>#DIV/0!</v>
      </c>
      <c r="O25" s="4" t="e">
        <f t="shared" ref="O25" si="15">AVERAGE(O5:O24)</f>
        <v>#DIV/0!</v>
      </c>
      <c r="P25" s="4" t="e">
        <f t="shared" ref="P25" si="16">AVERAGE(P5:P24)</f>
        <v>#DIV/0!</v>
      </c>
      <c r="Q25" s="4" t="e">
        <f t="shared" ref="Q25" si="17">AVERAGE(Q5:Q24)</f>
        <v>#DIV/0!</v>
      </c>
      <c r="R25" s="4" t="e">
        <f t="shared" ref="R25" si="18">AVERAGE(R5:R24)</f>
        <v>#DIV/0!</v>
      </c>
      <c r="S25" s="4" t="e">
        <f t="shared" ref="S25" si="19">AVERAGE(S5:S24)</f>
        <v>#DIV/0!</v>
      </c>
      <c r="T25" s="4" t="e">
        <f t="shared" ref="T25" si="20">AVERAGE(T5:T24)</f>
        <v>#DIV/0!</v>
      </c>
      <c r="U25" s="4" t="e">
        <f t="shared" ref="U25" si="21">AVERAGE(U5:U24)</f>
        <v>#DIV/0!</v>
      </c>
      <c r="V25" s="4" t="e">
        <f t="shared" ref="V25" si="22">AVERAGE(V5:V24)</f>
        <v>#DIV/0!</v>
      </c>
      <c r="W25" s="4" t="e">
        <f t="shared" ref="W25" si="23">AVERAGE(W5:W24)</f>
        <v>#DIV/0!</v>
      </c>
      <c r="X25" s="4" t="e">
        <f t="shared" ref="X25" si="24">AVERAGE(X5:X24)</f>
        <v>#DIV/0!</v>
      </c>
      <c r="Y25" s="4" t="e">
        <f t="shared" ref="Y25" si="25">AVERAGE(Y5:Y24)</f>
        <v>#DIV/0!</v>
      </c>
      <c r="Z25" s="4" t="e">
        <f t="shared" ref="Z25" si="26">AVERAGE(Z5:Z24)</f>
        <v>#DIV/0!</v>
      </c>
      <c r="AA25" s="4" t="e">
        <f t="shared" ref="AA25" si="27">AVERAGE(AA5:AA24)</f>
        <v>#DIV/0!</v>
      </c>
      <c r="AB25" s="4" t="e">
        <f t="shared" ref="AB25" si="28">AVERAGE(AB5:AB24)</f>
        <v>#DIV/0!</v>
      </c>
      <c r="AC25" s="4" t="e">
        <f t="shared" ref="AC25" si="29">AVERAGE(AC5:AC24)</f>
        <v>#DIV/0!</v>
      </c>
      <c r="AD25" s="4" t="e">
        <f t="shared" ref="AD25" si="30">AVERAGE(AD5:AD24)</f>
        <v>#DIV/0!</v>
      </c>
      <c r="AE25" s="4" t="e">
        <f t="shared" ref="AE25" si="31">AVERAGE(AE5:AE24)</f>
        <v>#DIV/0!</v>
      </c>
      <c r="AF25" s="4" t="e">
        <f t="shared" ref="AF25:AJ25" si="32">AVERAGE(AF5:AF24)</f>
        <v>#DIV/0!</v>
      </c>
      <c r="AG25" s="4">
        <f t="shared" si="32"/>
        <v>0</v>
      </c>
      <c r="AH25" s="4">
        <f t="shared" si="32"/>
        <v>0</v>
      </c>
      <c r="AI25" s="4">
        <f t="shared" si="32"/>
        <v>0</v>
      </c>
      <c r="AJ25" s="4">
        <f t="shared" si="32"/>
        <v>0</v>
      </c>
    </row>
    <row r="26" spans="1:36" ht="51.75" customHeight="1" thickTop="1" thickBot="1">
      <c r="A26" s="22"/>
      <c r="B26" s="23" t="s">
        <v>34</v>
      </c>
      <c r="C26" s="30" t="e">
        <f t="shared" ref="C26:AJ26" si="33">C25/C4*100</f>
        <v>#DIV/0!</v>
      </c>
      <c r="D26" s="30" t="e">
        <f t="shared" si="33"/>
        <v>#DIV/0!</v>
      </c>
      <c r="E26" s="30" t="e">
        <f t="shared" si="33"/>
        <v>#DIV/0!</v>
      </c>
      <c r="F26" s="30" t="e">
        <f t="shared" si="33"/>
        <v>#DIV/0!</v>
      </c>
      <c r="G26" s="30" t="e">
        <f t="shared" si="33"/>
        <v>#DIV/0!</v>
      </c>
      <c r="H26" s="30" t="e">
        <f t="shared" si="33"/>
        <v>#DIV/0!</v>
      </c>
      <c r="I26" s="30" t="e">
        <f t="shared" si="33"/>
        <v>#DIV/0!</v>
      </c>
      <c r="J26" s="30" t="e">
        <f t="shared" si="33"/>
        <v>#DIV/0!</v>
      </c>
      <c r="K26" s="30" t="e">
        <f t="shared" si="33"/>
        <v>#DIV/0!</v>
      </c>
      <c r="L26" s="30" t="e">
        <f t="shared" si="33"/>
        <v>#DIV/0!</v>
      </c>
      <c r="M26" s="30" t="e">
        <f t="shared" si="33"/>
        <v>#DIV/0!</v>
      </c>
      <c r="N26" s="30" t="e">
        <f t="shared" si="33"/>
        <v>#DIV/0!</v>
      </c>
      <c r="O26" s="30" t="e">
        <f t="shared" si="33"/>
        <v>#DIV/0!</v>
      </c>
      <c r="P26" s="30" t="e">
        <f t="shared" si="33"/>
        <v>#DIV/0!</v>
      </c>
      <c r="Q26" s="30" t="e">
        <f t="shared" si="33"/>
        <v>#DIV/0!</v>
      </c>
      <c r="R26" s="30" t="e">
        <f t="shared" si="33"/>
        <v>#DIV/0!</v>
      </c>
      <c r="S26" s="30" t="e">
        <f t="shared" si="33"/>
        <v>#DIV/0!</v>
      </c>
      <c r="T26" s="30" t="e">
        <f t="shared" si="33"/>
        <v>#DIV/0!</v>
      </c>
      <c r="U26" s="30" t="e">
        <f t="shared" si="33"/>
        <v>#DIV/0!</v>
      </c>
      <c r="V26" s="30" t="e">
        <f t="shared" si="33"/>
        <v>#DIV/0!</v>
      </c>
      <c r="W26" s="30" t="e">
        <f t="shared" si="33"/>
        <v>#DIV/0!</v>
      </c>
      <c r="X26" s="30" t="e">
        <f t="shared" si="33"/>
        <v>#DIV/0!</v>
      </c>
      <c r="Y26" s="30" t="e">
        <f t="shared" si="33"/>
        <v>#DIV/0!</v>
      </c>
      <c r="Z26" s="30" t="e">
        <f t="shared" si="33"/>
        <v>#DIV/0!</v>
      </c>
      <c r="AA26" s="30" t="e">
        <f t="shared" si="33"/>
        <v>#DIV/0!</v>
      </c>
      <c r="AB26" s="30" t="e">
        <f t="shared" si="33"/>
        <v>#DIV/0!</v>
      </c>
      <c r="AC26" s="30" t="e">
        <f t="shared" si="33"/>
        <v>#DIV/0!</v>
      </c>
      <c r="AD26" s="30" t="e">
        <f t="shared" si="33"/>
        <v>#DIV/0!</v>
      </c>
      <c r="AE26" s="30" t="e">
        <f t="shared" si="33"/>
        <v>#DIV/0!</v>
      </c>
      <c r="AF26" s="30" t="e">
        <f t="shared" si="33"/>
        <v>#DIV/0!</v>
      </c>
      <c r="AG26" s="30" t="e">
        <f t="shared" si="33"/>
        <v>#DIV/0!</v>
      </c>
      <c r="AH26" s="30" t="e">
        <f t="shared" si="33"/>
        <v>#DIV/0!</v>
      </c>
      <c r="AI26" s="30" t="e">
        <f t="shared" si="33"/>
        <v>#DIV/0!</v>
      </c>
      <c r="AJ26" s="30" t="e">
        <f t="shared" si="33"/>
        <v>#DIV/0!</v>
      </c>
    </row>
    <row r="27" spans="1:36" ht="29.25" thickTop="1" thickBot="1">
      <c r="A27" s="79" t="s">
        <v>110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34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34"/>
        <v>#DIV/0!</v>
      </c>
      <c r="F27" s="30" t="e">
        <f t="shared" si="34"/>
        <v>#DIV/0!</v>
      </c>
      <c r="G27" s="30" t="e">
        <f t="shared" si="34"/>
        <v>#DIV/0!</v>
      </c>
      <c r="H27" s="30" t="e">
        <f t="shared" si="34"/>
        <v>#DIV/0!</v>
      </c>
      <c r="I27" s="30" t="e">
        <f t="shared" si="34"/>
        <v>#DIV/0!</v>
      </c>
      <c r="J27" s="30" t="e">
        <f t="shared" si="34"/>
        <v>#DIV/0!</v>
      </c>
      <c r="K27" s="30" t="e">
        <f t="shared" si="34"/>
        <v>#DIV/0!</v>
      </c>
      <c r="L27" s="30" t="e">
        <f t="shared" si="34"/>
        <v>#DIV/0!</v>
      </c>
      <c r="M27" s="30" t="e">
        <f t="shared" si="34"/>
        <v>#DIV/0!</v>
      </c>
      <c r="N27" s="30" t="e">
        <f t="shared" si="34"/>
        <v>#DIV/0!</v>
      </c>
      <c r="O27" s="30" t="e">
        <f t="shared" si="34"/>
        <v>#DIV/0!</v>
      </c>
      <c r="P27" s="30" t="e">
        <f t="shared" si="34"/>
        <v>#DIV/0!</v>
      </c>
      <c r="Q27" s="30" t="e">
        <f t="shared" si="34"/>
        <v>#DIV/0!</v>
      </c>
      <c r="R27" s="30" t="e">
        <f t="shared" si="34"/>
        <v>#DIV/0!</v>
      </c>
      <c r="S27" s="30" t="e">
        <f t="shared" si="34"/>
        <v>#DIV/0!</v>
      </c>
      <c r="T27" s="30" t="e">
        <f t="shared" si="34"/>
        <v>#DIV/0!</v>
      </c>
      <c r="U27" s="30" t="e">
        <f t="shared" si="34"/>
        <v>#DIV/0!</v>
      </c>
      <c r="V27" s="30" t="e">
        <f t="shared" si="34"/>
        <v>#DIV/0!</v>
      </c>
      <c r="W27" s="30" t="e">
        <f t="shared" si="34"/>
        <v>#DIV/0!</v>
      </c>
      <c r="X27" s="30" t="e">
        <f t="shared" si="34"/>
        <v>#DIV/0!</v>
      </c>
      <c r="Y27" s="30" t="e">
        <f t="shared" si="34"/>
        <v>#DIV/0!</v>
      </c>
      <c r="Z27" s="30" t="e">
        <f t="shared" si="34"/>
        <v>#DIV/0!</v>
      </c>
      <c r="AA27" s="30" t="e">
        <f t="shared" si="34"/>
        <v>#DIV/0!</v>
      </c>
      <c r="AB27" s="30" t="e">
        <f t="shared" si="34"/>
        <v>#DIV/0!</v>
      </c>
      <c r="AC27" s="30" t="e">
        <f t="shared" si="34"/>
        <v>#DIV/0!</v>
      </c>
      <c r="AD27" s="30" t="e">
        <f t="shared" si="34"/>
        <v>#DIV/0!</v>
      </c>
      <c r="AE27" s="30" t="e">
        <f t="shared" si="34"/>
        <v>#DIV/0!</v>
      </c>
      <c r="AF27" s="30" t="e">
        <f t="shared" si="34"/>
        <v>#DIV/0!</v>
      </c>
      <c r="AG27" s="30" t="e">
        <f t="shared" si="34"/>
        <v>#DIV/0!</v>
      </c>
      <c r="AH27" s="30" t="e">
        <f t="shared" si="34"/>
        <v>#DIV/0!</v>
      </c>
      <c r="AI27" s="30" t="e">
        <f t="shared" si="34"/>
        <v>#DIV/0!</v>
      </c>
      <c r="AJ27" s="30" t="e">
        <f t="shared" si="34"/>
        <v>#DIV/0!</v>
      </c>
    </row>
    <row r="28" spans="1:36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F24">
    <cfRule type="cellIs" dxfId="144" priority="209" operator="between">
      <formula>1</formula>
      <formula>5</formula>
    </cfRule>
    <cfRule type="cellIs" dxfId="143" priority="210" operator="lessThan">
      <formula>1</formula>
    </cfRule>
    <cfRule type="containsText" dxfId="142" priority="211" operator="containsText" text="0">
      <formula>NOT(ISERROR(SEARCH("0",C5)))</formula>
    </cfRule>
    <cfRule type="containsText" dxfId="141" priority="212" operator="containsText" text="0">
      <formula>NOT(ISERROR(SEARCH("0",C5)))</formula>
    </cfRule>
    <cfRule type="containsText" dxfId="140" priority="215" operator="containsText" text="1">
      <formula>NOT(ISERROR(SEARCH("1",C5)))</formula>
    </cfRule>
    <cfRule type="containsText" dxfId="139" priority="216" operator="containsText" text="0">
      <formula>NOT(ISERROR(SEARCH("0",C5)))</formula>
    </cfRule>
  </conditionalFormatting>
  <conditionalFormatting sqref="C26:AJ26">
    <cfRule type="cellIs" dxfId="138" priority="1" operator="between">
      <formula>40</formula>
      <formula>50</formula>
    </cfRule>
    <cfRule type="cellIs" dxfId="137" priority="65" operator="greaterThan">
      <formula>70</formula>
    </cfRule>
    <cfRule type="cellIs" dxfId="136" priority="68" operator="between">
      <formula>60</formula>
      <formula>70</formula>
    </cfRule>
    <cfRule type="cellIs" dxfId="135" priority="70" operator="lessThan">
      <formula>40</formula>
    </cfRule>
    <cfRule type="cellIs" dxfId="134" priority="72" operator="between">
      <formula>50</formula>
      <formula>60</formula>
    </cfRule>
  </conditionalFormatting>
  <conditionalFormatting sqref="C27:AJ27">
    <cfRule type="cellIs" dxfId="133" priority="93" operator="between">
      <formula>70</formula>
      <formula>100</formula>
    </cfRule>
  </conditionalFormatting>
  <conditionalFormatting sqref="AN6:AQ6">
    <cfRule type="expression" dxfId="132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P58"/>
  <sheetViews>
    <sheetView rightToLeft="1" zoomScale="80" zoomScaleNormal="80" zoomScaleSheetLayoutView="80" workbookViewId="0">
      <pane ySplit="4" topLeftCell="A5" activePane="bottomLeft" state="frozen"/>
      <selection activeCell="D1" sqref="D1"/>
      <selection pane="bottomLeft" activeCell="B5" sqref="B5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10" width="10.25" bestFit="1" customWidth="1"/>
    <col min="11" max="11" width="10.25" customWidth="1"/>
    <col min="12" max="24" width="10.25" bestFit="1" customWidth="1"/>
    <col min="25" max="25" width="10.25" customWidth="1"/>
    <col min="26" max="31" width="10.25" bestFit="1" customWidth="1"/>
    <col min="32" max="32" width="13" customWidth="1"/>
    <col min="33" max="33" width="14.625" customWidth="1"/>
    <col min="34" max="34" width="20.125" customWidth="1"/>
    <col min="35" max="35" width="16.25" customWidth="1"/>
    <col min="36" max="36" width="9.125" customWidth="1"/>
    <col min="37" max="37" width="0.25" customWidth="1"/>
    <col min="38" max="38" width="16.75" customWidth="1"/>
    <col min="39" max="39" width="16" customWidth="1"/>
    <col min="40" max="40" width="15.25" customWidth="1"/>
    <col min="41" max="41" width="15.625" customWidth="1"/>
    <col min="42" max="42" width="16" customWidth="1"/>
  </cols>
  <sheetData>
    <row r="3" spans="1:42" ht="50.25" customHeight="1">
      <c r="A3" s="75" t="s">
        <v>2</v>
      </c>
      <c r="B3" s="21" t="s">
        <v>17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 t="s">
        <v>24</v>
      </c>
      <c r="L3" s="8" t="s">
        <v>25</v>
      </c>
      <c r="M3" s="8">
        <v>10</v>
      </c>
      <c r="N3" s="8">
        <v>11</v>
      </c>
      <c r="O3" s="8" t="s">
        <v>22</v>
      </c>
      <c r="P3" s="8" t="s">
        <v>23</v>
      </c>
      <c r="Q3" s="8" t="s">
        <v>49</v>
      </c>
      <c r="R3" s="8" t="s">
        <v>50</v>
      </c>
      <c r="S3" s="8">
        <v>14</v>
      </c>
      <c r="T3" s="8" t="s">
        <v>26</v>
      </c>
      <c r="U3" s="8" t="s">
        <v>27</v>
      </c>
      <c r="V3" s="8">
        <v>16</v>
      </c>
      <c r="W3" s="8" t="s">
        <v>38</v>
      </c>
      <c r="X3" s="8" t="s">
        <v>28</v>
      </c>
      <c r="Y3" s="8" t="s">
        <v>51</v>
      </c>
      <c r="Z3" s="8">
        <v>18</v>
      </c>
      <c r="AA3" s="8">
        <v>19</v>
      </c>
      <c r="AB3" s="8">
        <v>20</v>
      </c>
      <c r="AC3" s="8" t="s">
        <v>32</v>
      </c>
      <c r="AD3" s="8" t="s">
        <v>33</v>
      </c>
      <c r="AE3" s="8" t="s">
        <v>35</v>
      </c>
      <c r="AF3" s="24" t="s">
        <v>29</v>
      </c>
      <c r="AG3" s="16" t="s">
        <v>10</v>
      </c>
      <c r="AH3" s="17" t="s">
        <v>9</v>
      </c>
      <c r="AI3" s="18" t="s">
        <v>8</v>
      </c>
    </row>
    <row r="4" spans="1:42" ht="69" customHeight="1">
      <c r="A4" s="76"/>
      <c r="B4" s="20" t="s">
        <v>18</v>
      </c>
      <c r="C4" s="10">
        <v>1</v>
      </c>
      <c r="D4" s="11">
        <v>2</v>
      </c>
      <c r="E4" s="10">
        <v>1</v>
      </c>
      <c r="F4" s="11">
        <v>1</v>
      </c>
      <c r="G4" s="10">
        <v>2</v>
      </c>
      <c r="H4" s="10">
        <v>1</v>
      </c>
      <c r="I4" s="14">
        <v>2</v>
      </c>
      <c r="J4" s="10">
        <v>2</v>
      </c>
      <c r="K4" s="11">
        <v>2</v>
      </c>
      <c r="L4" s="14">
        <v>1</v>
      </c>
      <c r="M4" s="11">
        <v>1</v>
      </c>
      <c r="N4" s="14">
        <v>1</v>
      </c>
      <c r="O4" s="13">
        <v>2</v>
      </c>
      <c r="P4" s="13">
        <v>1</v>
      </c>
      <c r="Q4" s="13">
        <v>1</v>
      </c>
      <c r="R4" s="15">
        <v>1</v>
      </c>
      <c r="S4" s="12">
        <v>2</v>
      </c>
      <c r="T4" s="12">
        <v>1</v>
      </c>
      <c r="U4" s="13">
        <v>2</v>
      </c>
      <c r="V4" s="15">
        <v>1</v>
      </c>
      <c r="W4" s="12">
        <v>2</v>
      </c>
      <c r="X4" s="15">
        <v>1</v>
      </c>
      <c r="Y4" s="13">
        <v>1</v>
      </c>
      <c r="Z4" s="12">
        <v>2</v>
      </c>
      <c r="AA4" s="13">
        <v>1</v>
      </c>
      <c r="AB4" s="12">
        <v>2</v>
      </c>
      <c r="AC4" s="15">
        <v>1</v>
      </c>
      <c r="AD4" s="25">
        <v>1</v>
      </c>
      <c r="AE4" s="25">
        <v>1</v>
      </c>
      <c r="AF4" s="26">
        <f t="shared" ref="AF4:AF24" si="0">SUM(C4:AE4)</f>
        <v>40</v>
      </c>
      <c r="AG4" s="14">
        <f>AC4+X4+V4+R4+N4+L4+I4</f>
        <v>8</v>
      </c>
      <c r="AH4" s="11">
        <f>AE4+AD4+AA4+Y4+U4+Q4+P4+O4+M4+K4+F4+D4</f>
        <v>16</v>
      </c>
      <c r="AI4" s="10">
        <f>AB4+Z4+W4+T4+S4+J4+H4+G4+E4+C4</f>
        <v>16</v>
      </c>
      <c r="AL4" s="27" t="s">
        <v>39</v>
      </c>
      <c r="AM4" s="14" t="s">
        <v>40</v>
      </c>
      <c r="AN4" s="10" t="s">
        <v>41</v>
      </c>
      <c r="AO4" s="28" t="s">
        <v>42</v>
      </c>
      <c r="AP4" s="11" t="s">
        <v>43</v>
      </c>
    </row>
    <row r="5" spans="1:42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26">
        <f t="shared" si="0"/>
        <v>0</v>
      </c>
      <c r="AG5" s="14">
        <f t="shared" ref="AG5:AG24" si="1">AC5+X5+V5+R5+N5+L5+I5</f>
        <v>0</v>
      </c>
      <c r="AH5" s="11">
        <f t="shared" ref="AH5:AH24" si="2">AE5+AD5+AA5+Y5+U5+Q5+P5+O5+M5+K5+F5+E5+D5</f>
        <v>0</v>
      </c>
      <c r="AI5" s="10">
        <f t="shared" ref="AI5:AI24" si="3">AB5+Z5+W5+T5+S5+J5+H5+G5+C5</f>
        <v>0</v>
      </c>
      <c r="AL5" s="29" t="s">
        <v>44</v>
      </c>
      <c r="AM5" s="14" t="s">
        <v>45</v>
      </c>
      <c r="AN5" s="10" t="s">
        <v>46</v>
      </c>
      <c r="AO5" s="28" t="s">
        <v>47</v>
      </c>
      <c r="AP5" s="11" t="s">
        <v>48</v>
      </c>
    </row>
    <row r="6" spans="1:42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26">
        <f t="shared" si="0"/>
        <v>0</v>
      </c>
      <c r="AG6" s="14">
        <f t="shared" si="1"/>
        <v>0</v>
      </c>
      <c r="AH6" s="11">
        <f t="shared" si="2"/>
        <v>0</v>
      </c>
      <c r="AI6" s="10">
        <f t="shared" si="3"/>
        <v>0</v>
      </c>
    </row>
    <row r="7" spans="1:42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26">
        <f t="shared" si="0"/>
        <v>0</v>
      </c>
      <c r="AG7" s="14">
        <f t="shared" si="1"/>
        <v>0</v>
      </c>
      <c r="AH7" s="11">
        <f t="shared" si="2"/>
        <v>0</v>
      </c>
      <c r="AI7" s="10">
        <f t="shared" si="3"/>
        <v>0</v>
      </c>
    </row>
    <row r="8" spans="1:42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26">
        <f t="shared" si="0"/>
        <v>0</v>
      </c>
      <c r="AG8" s="14">
        <f t="shared" si="1"/>
        <v>0</v>
      </c>
      <c r="AH8" s="11">
        <f t="shared" si="2"/>
        <v>0</v>
      </c>
      <c r="AI8" s="10">
        <f t="shared" si="3"/>
        <v>0</v>
      </c>
    </row>
    <row r="9" spans="1:42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26">
        <f t="shared" si="0"/>
        <v>0</v>
      </c>
      <c r="AG9" s="14">
        <f t="shared" si="1"/>
        <v>0</v>
      </c>
      <c r="AH9" s="11">
        <f t="shared" si="2"/>
        <v>0</v>
      </c>
      <c r="AI9" s="10">
        <f t="shared" si="3"/>
        <v>0</v>
      </c>
    </row>
    <row r="10" spans="1:42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26">
        <f t="shared" si="0"/>
        <v>0</v>
      </c>
      <c r="AG10" s="14">
        <f t="shared" si="1"/>
        <v>0</v>
      </c>
      <c r="AH10" s="11">
        <f t="shared" si="2"/>
        <v>0</v>
      </c>
      <c r="AI10" s="10">
        <f t="shared" si="3"/>
        <v>0</v>
      </c>
    </row>
    <row r="11" spans="1:42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26">
        <f t="shared" si="0"/>
        <v>0</v>
      </c>
      <c r="AG11" s="14">
        <f t="shared" si="1"/>
        <v>0</v>
      </c>
      <c r="AH11" s="11">
        <f t="shared" si="2"/>
        <v>0</v>
      </c>
      <c r="AI11" s="10">
        <f t="shared" si="3"/>
        <v>0</v>
      </c>
    </row>
    <row r="12" spans="1:42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26">
        <f t="shared" si="0"/>
        <v>0</v>
      </c>
      <c r="AG12" s="14">
        <f t="shared" si="1"/>
        <v>0</v>
      </c>
      <c r="AH12" s="11">
        <f t="shared" si="2"/>
        <v>0</v>
      </c>
      <c r="AI12" s="10">
        <f t="shared" si="3"/>
        <v>0</v>
      </c>
    </row>
    <row r="13" spans="1:42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26">
        <f t="shared" si="0"/>
        <v>0</v>
      </c>
      <c r="AG13" s="14">
        <f t="shared" si="1"/>
        <v>0</v>
      </c>
      <c r="AH13" s="11">
        <f t="shared" si="2"/>
        <v>0</v>
      </c>
      <c r="AI13" s="10">
        <f t="shared" si="3"/>
        <v>0</v>
      </c>
    </row>
    <row r="14" spans="1:42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26">
        <f t="shared" si="0"/>
        <v>0</v>
      </c>
      <c r="AG14" s="14">
        <f t="shared" si="1"/>
        <v>0</v>
      </c>
      <c r="AH14" s="11">
        <f t="shared" si="2"/>
        <v>0</v>
      </c>
      <c r="AI14" s="10">
        <f t="shared" si="3"/>
        <v>0</v>
      </c>
    </row>
    <row r="15" spans="1:42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26">
        <f t="shared" si="0"/>
        <v>0</v>
      </c>
      <c r="AG15" s="14">
        <f t="shared" si="1"/>
        <v>0</v>
      </c>
      <c r="AH15" s="11">
        <f t="shared" si="2"/>
        <v>0</v>
      </c>
      <c r="AI15" s="10">
        <f t="shared" si="3"/>
        <v>0</v>
      </c>
    </row>
    <row r="16" spans="1:42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26">
        <f t="shared" si="0"/>
        <v>0</v>
      </c>
      <c r="AG16" s="14">
        <f t="shared" si="1"/>
        <v>0</v>
      </c>
      <c r="AH16" s="11">
        <f t="shared" si="2"/>
        <v>0</v>
      </c>
      <c r="AI16" s="10">
        <f t="shared" si="3"/>
        <v>0</v>
      </c>
    </row>
    <row r="17" spans="1:35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26">
        <f t="shared" si="0"/>
        <v>0</v>
      </c>
      <c r="AG17" s="14">
        <f t="shared" si="1"/>
        <v>0</v>
      </c>
      <c r="AH17" s="11">
        <f t="shared" si="2"/>
        <v>0</v>
      </c>
      <c r="AI17" s="10">
        <f t="shared" si="3"/>
        <v>0</v>
      </c>
    </row>
    <row r="18" spans="1:35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26">
        <f t="shared" si="0"/>
        <v>0</v>
      </c>
      <c r="AG18" s="14">
        <f t="shared" si="1"/>
        <v>0</v>
      </c>
      <c r="AH18" s="11">
        <f t="shared" si="2"/>
        <v>0</v>
      </c>
      <c r="AI18" s="10">
        <f t="shared" si="3"/>
        <v>0</v>
      </c>
    </row>
    <row r="19" spans="1:35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26">
        <f t="shared" si="0"/>
        <v>0</v>
      </c>
      <c r="AG19" s="14">
        <f t="shared" si="1"/>
        <v>0</v>
      </c>
      <c r="AH19" s="11">
        <f t="shared" si="2"/>
        <v>0</v>
      </c>
      <c r="AI19" s="10">
        <f t="shared" si="3"/>
        <v>0</v>
      </c>
    </row>
    <row r="20" spans="1:35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26">
        <f t="shared" si="0"/>
        <v>0</v>
      </c>
      <c r="AG20" s="14">
        <f t="shared" si="1"/>
        <v>0</v>
      </c>
      <c r="AH20" s="11">
        <f t="shared" si="2"/>
        <v>0</v>
      </c>
      <c r="AI20" s="10">
        <f t="shared" si="3"/>
        <v>0</v>
      </c>
    </row>
    <row r="21" spans="1:35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26">
        <f t="shared" si="0"/>
        <v>0</v>
      </c>
      <c r="AG21" s="14">
        <f t="shared" si="1"/>
        <v>0</v>
      </c>
      <c r="AH21" s="11">
        <f t="shared" si="2"/>
        <v>0</v>
      </c>
      <c r="AI21" s="10">
        <f t="shared" si="3"/>
        <v>0</v>
      </c>
    </row>
    <row r="22" spans="1:35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26">
        <f t="shared" si="0"/>
        <v>0</v>
      </c>
      <c r="AG22" s="14">
        <f t="shared" si="1"/>
        <v>0</v>
      </c>
      <c r="AH22" s="11">
        <f t="shared" si="2"/>
        <v>0</v>
      </c>
      <c r="AI22" s="10">
        <f t="shared" si="3"/>
        <v>0</v>
      </c>
    </row>
    <row r="23" spans="1:35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26">
        <f t="shared" si="0"/>
        <v>0</v>
      </c>
      <c r="AG23" s="14">
        <f t="shared" si="1"/>
        <v>0</v>
      </c>
      <c r="AH23" s="11">
        <f t="shared" si="2"/>
        <v>0</v>
      </c>
      <c r="AI23" s="10">
        <f t="shared" si="3"/>
        <v>0</v>
      </c>
    </row>
    <row r="24" spans="1:35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26">
        <f t="shared" si="0"/>
        <v>0</v>
      </c>
      <c r="AG24" s="14">
        <f t="shared" si="1"/>
        <v>0</v>
      </c>
      <c r="AH24" s="11">
        <f t="shared" si="2"/>
        <v>0</v>
      </c>
      <c r="AI24" s="10">
        <f t="shared" si="3"/>
        <v>0</v>
      </c>
    </row>
    <row r="25" spans="1:35" ht="28.5" thickBot="1">
      <c r="A25" s="77" t="s">
        <v>19</v>
      </c>
      <c r="B25" s="78"/>
      <c r="C25" s="4" t="e">
        <f>AVERAGE(C5:C24)</f>
        <v>#DIV/0!</v>
      </c>
      <c r="D25" s="4" t="e">
        <f t="shared" ref="D25:AE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3"/>
      <c r="AG25" s="19">
        <f>SUM(AG5:AG24)</f>
        <v>0</v>
      </c>
      <c r="AH25" s="19">
        <f>SUM(AH5:AH24)</f>
        <v>0</v>
      </c>
      <c r="AI25" s="19">
        <f>SUM(AI5:AI24)</f>
        <v>0</v>
      </c>
    </row>
    <row r="26" spans="1:35" ht="51.75" customHeight="1" thickTop="1" thickBot="1">
      <c r="A26" s="22"/>
      <c r="B26" s="23" t="s">
        <v>34</v>
      </c>
      <c r="C26" s="30" t="e">
        <f t="shared" ref="C26:AE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"/>
      <c r="AG26" s="19"/>
      <c r="AH26" s="19"/>
      <c r="AI26" s="19"/>
    </row>
    <row r="27" spans="1:35" ht="29.25" thickTop="1" thickBot="1">
      <c r="A27" s="79" t="s">
        <v>110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E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</row>
    <row r="28" spans="1:35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E24">
    <cfRule type="cellIs" dxfId="131" priority="8" operator="between">
      <formula>1</formula>
      <formula>5</formula>
    </cfRule>
    <cfRule type="cellIs" dxfId="130" priority="9" operator="lessThan">
      <formula>1</formula>
    </cfRule>
    <cfRule type="containsText" dxfId="129" priority="10" operator="containsText" text="0">
      <formula>NOT(ISERROR(SEARCH("0",C5)))</formula>
    </cfRule>
    <cfRule type="containsText" dxfId="128" priority="11" operator="containsText" text="0">
      <formula>NOT(ISERROR(SEARCH("0",C5)))</formula>
    </cfRule>
    <cfRule type="containsText" dxfId="127" priority="12" operator="containsText" text="1">
      <formula>NOT(ISERROR(SEARCH("1",C5)))</formula>
    </cfRule>
    <cfRule type="containsText" dxfId="126" priority="13" operator="containsText" text="0">
      <formula>NOT(ISERROR(SEARCH("0",C5)))</formula>
    </cfRule>
  </conditionalFormatting>
  <conditionalFormatting sqref="C26:AE26">
    <cfRule type="cellIs" dxfId="125" priority="1" operator="between">
      <formula>40</formula>
      <formula>50</formula>
    </cfRule>
    <cfRule type="cellIs" dxfId="124" priority="3" operator="greaterThan">
      <formula>70</formula>
    </cfRule>
    <cfRule type="cellIs" dxfId="123" priority="4" operator="between">
      <formula>60</formula>
      <formula>70</formula>
    </cfRule>
    <cfRule type="cellIs" dxfId="122" priority="5" operator="lessThan">
      <formula>40</formula>
    </cfRule>
    <cfRule type="cellIs" dxfId="121" priority="6" operator="between">
      <formula>50</formula>
      <formula>60</formula>
    </cfRule>
  </conditionalFormatting>
  <conditionalFormatting sqref="C27:AE27">
    <cfRule type="cellIs" dxfId="120" priority="7" operator="between">
      <formula>70</formula>
      <formula>100</formula>
    </cfRule>
  </conditionalFormatting>
  <conditionalFormatting sqref="AM6:AP6">
    <cfRule type="expression" dxfId="119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AT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9" sqref="C9:AI21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10" width="10.25" bestFit="1" customWidth="1"/>
    <col min="11" max="11" width="10.25" customWidth="1"/>
    <col min="12" max="31" width="10.25" bestFit="1" customWidth="1"/>
    <col min="32" max="34" width="10.25" customWidth="1"/>
    <col min="35" max="35" width="10.25" bestFit="1" customWidth="1"/>
    <col min="36" max="36" width="13" customWidth="1"/>
    <col min="37" max="37" width="14.625" customWidth="1"/>
    <col min="38" max="38" width="20.125" customWidth="1"/>
    <col min="39" max="39" width="16.25" customWidth="1"/>
    <col min="40" max="40" width="9.125" customWidth="1"/>
    <col min="41" max="41" width="0.25" customWidth="1"/>
    <col min="42" max="42" width="16.75" customWidth="1"/>
    <col min="43" max="43" width="16" customWidth="1"/>
    <col min="44" max="44" width="15.25" customWidth="1"/>
    <col min="45" max="45" width="15.625" customWidth="1"/>
    <col min="46" max="46" width="16" customWidth="1"/>
  </cols>
  <sheetData>
    <row r="3" spans="1:46" ht="50.25" customHeight="1">
      <c r="A3" s="75" t="s">
        <v>2</v>
      </c>
      <c r="B3" s="21" t="s">
        <v>17</v>
      </c>
      <c r="C3" s="8" t="s">
        <v>52</v>
      </c>
      <c r="D3" s="8" t="s">
        <v>53</v>
      </c>
      <c r="E3" s="8">
        <v>2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 t="s">
        <v>54</v>
      </c>
      <c r="M3" s="8" t="s">
        <v>55</v>
      </c>
      <c r="N3" s="8" t="s">
        <v>56</v>
      </c>
      <c r="O3" s="8">
        <v>9</v>
      </c>
      <c r="P3" s="8" t="s">
        <v>57</v>
      </c>
      <c r="Q3" s="8" t="s">
        <v>58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>
        <v>14</v>
      </c>
      <c r="X3" s="8">
        <v>15</v>
      </c>
      <c r="Y3" s="8">
        <v>16</v>
      </c>
      <c r="Z3" s="8">
        <v>17</v>
      </c>
      <c r="AA3" s="8">
        <v>18</v>
      </c>
      <c r="AB3" s="8">
        <v>19</v>
      </c>
      <c r="AC3" s="8" t="s">
        <v>60</v>
      </c>
      <c r="AD3" s="8" t="s">
        <v>61</v>
      </c>
      <c r="AE3" s="8">
        <v>21</v>
      </c>
      <c r="AF3" s="8">
        <v>22</v>
      </c>
      <c r="AG3" s="8">
        <v>23</v>
      </c>
      <c r="AH3" s="8" t="s">
        <v>62</v>
      </c>
      <c r="AI3" s="8" t="s">
        <v>63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>
      <c r="A4" s="76"/>
      <c r="B4" s="20" t="s">
        <v>18</v>
      </c>
      <c r="C4" s="11">
        <v>1</v>
      </c>
      <c r="D4" s="11">
        <v>2</v>
      </c>
      <c r="E4" s="10">
        <v>2</v>
      </c>
      <c r="F4" s="11">
        <v>1</v>
      </c>
      <c r="G4" s="14">
        <v>1</v>
      </c>
      <c r="H4" s="14">
        <v>1</v>
      </c>
      <c r="I4" s="10">
        <v>1</v>
      </c>
      <c r="J4" s="11">
        <v>1</v>
      </c>
      <c r="K4" s="10">
        <v>1</v>
      </c>
      <c r="L4" s="11">
        <v>1</v>
      </c>
      <c r="M4" s="14">
        <v>1</v>
      </c>
      <c r="N4" s="11">
        <v>1</v>
      </c>
      <c r="O4" s="15">
        <v>1</v>
      </c>
      <c r="P4" s="13">
        <v>1</v>
      </c>
      <c r="Q4" s="12">
        <v>1</v>
      </c>
      <c r="R4" s="13">
        <v>1</v>
      </c>
      <c r="S4" s="12">
        <v>1</v>
      </c>
      <c r="T4" s="13">
        <v>1</v>
      </c>
      <c r="U4" s="12">
        <v>2</v>
      </c>
      <c r="V4" s="12">
        <v>2</v>
      </c>
      <c r="W4" s="15">
        <v>1</v>
      </c>
      <c r="X4" s="13">
        <v>1</v>
      </c>
      <c r="Y4" s="12">
        <v>2</v>
      </c>
      <c r="Z4" s="13">
        <v>1</v>
      </c>
      <c r="AA4" s="13">
        <v>1</v>
      </c>
      <c r="AB4" s="12">
        <v>1</v>
      </c>
      <c r="AC4" s="31">
        <v>1</v>
      </c>
      <c r="AD4" s="25">
        <v>1</v>
      </c>
      <c r="AE4" s="26">
        <v>2</v>
      </c>
      <c r="AF4" s="25">
        <v>2</v>
      </c>
      <c r="AG4" s="31">
        <v>1</v>
      </c>
      <c r="AH4" s="31">
        <v>1</v>
      </c>
      <c r="AI4" s="26">
        <v>1</v>
      </c>
      <c r="AJ4" s="26">
        <f t="shared" ref="AJ4:AJ24" si="0">SUM(C4:AI4)</f>
        <v>40</v>
      </c>
      <c r="AK4" s="14">
        <f>AH4+AG4+AC4+W4+O4+M4+H4+G4</f>
        <v>8</v>
      </c>
      <c r="AL4" s="11">
        <f>AF4+AD4+AA4+Z4+X4+T4+R4+P4+N4+L4+J4+F4+D4+C4</f>
        <v>16</v>
      </c>
      <c r="AM4" s="10">
        <f>AI4+AE4+AB4+Y4+V4+U4+S4+Q4+K4+I4+E4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si="0"/>
        <v>0</v>
      </c>
      <c r="AK5" s="14">
        <f t="shared" ref="AK5:AK24" si="1">AH5+AG5+AC5+W5+O5+M5+H5+G5</f>
        <v>0</v>
      </c>
      <c r="AL5" s="11">
        <f t="shared" ref="AL5:AL24" si="2">AF5+AD5+AA5+Z5+X5+T5+R5+P5+N5+L5+J5+F5+D5+C5</f>
        <v>0</v>
      </c>
      <c r="AM5" s="10">
        <f t="shared" ref="AM5:AM24" si="3">AI5+AE5+AB5+Y5+V5+U5+S5+Q5+K5+I5+E5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11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11">
        <f t="shared" si="2"/>
        <v>0</v>
      </c>
      <c r="AM7" s="10">
        <f t="shared" si="3"/>
        <v>0</v>
      </c>
    </row>
    <row r="8" spans="1:46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11">
        <f t="shared" si="2"/>
        <v>0</v>
      </c>
      <c r="AM8" s="10">
        <f t="shared" si="3"/>
        <v>0</v>
      </c>
    </row>
    <row r="9" spans="1:46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11">
        <f t="shared" si="2"/>
        <v>0</v>
      </c>
      <c r="AM9" s="10">
        <f t="shared" si="3"/>
        <v>0</v>
      </c>
    </row>
    <row r="10" spans="1:46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11">
        <f t="shared" si="2"/>
        <v>0</v>
      </c>
      <c r="AM10" s="10">
        <f t="shared" si="3"/>
        <v>0</v>
      </c>
    </row>
    <row r="11" spans="1:46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11">
        <f t="shared" si="2"/>
        <v>0</v>
      </c>
      <c r="AM11" s="10">
        <f t="shared" si="3"/>
        <v>0</v>
      </c>
    </row>
    <row r="12" spans="1:46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11">
        <f t="shared" si="2"/>
        <v>0</v>
      </c>
      <c r="AM12" s="10">
        <f t="shared" si="3"/>
        <v>0</v>
      </c>
    </row>
    <row r="13" spans="1:46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11">
        <f t="shared" si="2"/>
        <v>0</v>
      </c>
      <c r="AM13" s="10">
        <f t="shared" si="3"/>
        <v>0</v>
      </c>
    </row>
    <row r="14" spans="1:46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11">
        <f t="shared" si="2"/>
        <v>0</v>
      </c>
      <c r="AM14" s="10">
        <f t="shared" si="3"/>
        <v>0</v>
      </c>
    </row>
    <row r="15" spans="1:46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11">
        <f t="shared" si="2"/>
        <v>0</v>
      </c>
      <c r="AM15" s="10">
        <f t="shared" si="3"/>
        <v>0</v>
      </c>
    </row>
    <row r="16" spans="1:46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11">
        <f t="shared" si="2"/>
        <v>0</v>
      </c>
      <c r="AM16" s="10">
        <f t="shared" si="3"/>
        <v>0</v>
      </c>
    </row>
    <row r="17" spans="1:39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11">
        <f t="shared" si="2"/>
        <v>0</v>
      </c>
      <c r="AM17" s="10">
        <f t="shared" si="3"/>
        <v>0</v>
      </c>
    </row>
    <row r="18" spans="1:39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11">
        <f t="shared" si="2"/>
        <v>0</v>
      </c>
      <c r="AM18" s="10">
        <f t="shared" si="3"/>
        <v>0</v>
      </c>
    </row>
    <row r="19" spans="1:39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11">
        <f t="shared" si="2"/>
        <v>0</v>
      </c>
      <c r="AM19" s="10">
        <f t="shared" si="3"/>
        <v>0</v>
      </c>
    </row>
    <row r="20" spans="1:39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11">
        <f t="shared" si="2"/>
        <v>0</v>
      </c>
      <c r="AM20" s="10">
        <f t="shared" si="3"/>
        <v>0</v>
      </c>
    </row>
    <row r="21" spans="1:39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11">
        <f t="shared" si="2"/>
        <v>0</v>
      </c>
      <c r="AM21" s="10">
        <f t="shared" si="3"/>
        <v>0</v>
      </c>
    </row>
    <row r="22" spans="1:39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11">
        <f t="shared" si="2"/>
        <v>0</v>
      </c>
      <c r="AM22" s="10">
        <f t="shared" si="3"/>
        <v>0</v>
      </c>
    </row>
    <row r="23" spans="1:39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11">
        <f t="shared" si="2"/>
        <v>0</v>
      </c>
      <c r="AM23" s="10">
        <f t="shared" si="3"/>
        <v>0</v>
      </c>
    </row>
    <row r="24" spans="1:39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11">
        <f t="shared" si="2"/>
        <v>0</v>
      </c>
      <c r="AM24" s="10">
        <f t="shared" si="3"/>
        <v>0</v>
      </c>
    </row>
    <row r="25" spans="1:39" ht="28.5" thickBot="1">
      <c r="A25" s="77" t="s">
        <v>19</v>
      </c>
      <c r="B25" s="78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>
        <f t="shared" si="4"/>
        <v>0</v>
      </c>
      <c r="AK25" s="19">
        <f>SUM(AK5:AK24)</f>
        <v>0</v>
      </c>
      <c r="AL25" s="19">
        <f>SUM(AL5:AL24)</f>
        <v>0</v>
      </c>
      <c r="AM25" s="19">
        <f>SUM(AM5:AM24)</f>
        <v>0</v>
      </c>
    </row>
    <row r="26" spans="1:39" ht="51.75" customHeight="1" thickTop="1" thickBot="1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>
        <f t="shared" si="5"/>
        <v>0</v>
      </c>
      <c r="AK26" s="19"/>
      <c r="AL26" s="19"/>
      <c r="AM26" s="19"/>
    </row>
    <row r="27" spans="1:39" ht="29.25" thickTop="1" thickBot="1">
      <c r="A27" s="79" t="s">
        <v>110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I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</row>
    <row r="28" spans="1:39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118" priority="8" operator="between">
      <formula>1</formula>
      <formula>5</formula>
    </cfRule>
    <cfRule type="cellIs" dxfId="117" priority="9" operator="lessThan">
      <formula>1</formula>
    </cfRule>
    <cfRule type="containsText" dxfId="116" priority="10" operator="containsText" text="0">
      <formula>NOT(ISERROR(SEARCH("0",C5)))</formula>
    </cfRule>
    <cfRule type="containsText" dxfId="115" priority="11" operator="containsText" text="0">
      <formula>NOT(ISERROR(SEARCH("0",C5)))</formula>
    </cfRule>
    <cfRule type="containsText" dxfId="114" priority="12" operator="containsText" text="1">
      <formula>NOT(ISERROR(SEARCH("1",C5)))</formula>
    </cfRule>
    <cfRule type="containsText" dxfId="113" priority="13" operator="containsText" text="0">
      <formula>NOT(ISERROR(SEARCH("0",C5)))</formula>
    </cfRule>
  </conditionalFormatting>
  <conditionalFormatting sqref="C27:AI27">
    <cfRule type="cellIs" dxfId="112" priority="7" operator="between">
      <formula>70</formula>
      <formula>100</formula>
    </cfRule>
  </conditionalFormatting>
  <conditionalFormatting sqref="C26:AJ26">
    <cfRule type="cellIs" dxfId="111" priority="1" operator="between">
      <formula>40</formula>
      <formula>50</formula>
    </cfRule>
    <cfRule type="cellIs" dxfId="110" priority="3" operator="greaterThan">
      <formula>70</formula>
    </cfRule>
    <cfRule type="cellIs" dxfId="109" priority="4" operator="between">
      <formula>60</formula>
      <formula>70</formula>
    </cfRule>
    <cfRule type="cellIs" dxfId="108" priority="5" operator="lessThan">
      <formula>40</formula>
    </cfRule>
    <cfRule type="cellIs" dxfId="107" priority="6" operator="between">
      <formula>50</formula>
      <formula>60</formula>
    </cfRule>
  </conditionalFormatting>
  <conditionalFormatting sqref="AQ6:AT6">
    <cfRule type="expression" dxfId="106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T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5" sqref="C5:AI23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10" width="10.25" bestFit="1" customWidth="1"/>
    <col min="11" max="11" width="10.25" customWidth="1"/>
    <col min="12" max="31" width="10.25" bestFit="1" customWidth="1"/>
    <col min="32" max="34" width="10.25" customWidth="1"/>
    <col min="35" max="35" width="10.25" bestFit="1" customWidth="1"/>
    <col min="36" max="36" width="13" customWidth="1"/>
    <col min="37" max="37" width="14.625" customWidth="1"/>
    <col min="38" max="38" width="20.125" customWidth="1"/>
    <col min="39" max="39" width="16.25" customWidth="1"/>
    <col min="40" max="40" width="9.125" customWidth="1"/>
    <col min="41" max="41" width="0.25" customWidth="1"/>
    <col min="42" max="42" width="16.75" customWidth="1"/>
    <col min="43" max="43" width="16" customWidth="1"/>
    <col min="44" max="44" width="15.25" customWidth="1"/>
    <col min="45" max="45" width="15.625" customWidth="1"/>
    <col min="46" max="46" width="16" customWidth="1"/>
  </cols>
  <sheetData>
    <row r="3" spans="1:46" ht="50.25" customHeight="1">
      <c r="A3" s="75" t="s">
        <v>2</v>
      </c>
      <c r="B3" s="21" t="s">
        <v>17</v>
      </c>
      <c r="C3" s="8" t="s">
        <v>52</v>
      </c>
      <c r="D3" s="8" t="s">
        <v>53</v>
      </c>
      <c r="E3" s="8">
        <v>2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 t="s">
        <v>54</v>
      </c>
      <c r="M3" s="8" t="s">
        <v>55</v>
      </c>
      <c r="N3" s="8" t="s">
        <v>56</v>
      </c>
      <c r="O3" s="8">
        <v>9</v>
      </c>
      <c r="P3" s="8" t="s">
        <v>57</v>
      </c>
      <c r="Q3" s="8" t="s">
        <v>58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>
        <v>14</v>
      </c>
      <c r="X3" s="8">
        <v>15</v>
      </c>
      <c r="Y3" s="8">
        <v>16</v>
      </c>
      <c r="Z3" s="8">
        <v>17</v>
      </c>
      <c r="AA3" s="8">
        <v>18</v>
      </c>
      <c r="AB3" s="8">
        <v>19</v>
      </c>
      <c r="AC3" s="8" t="s">
        <v>60</v>
      </c>
      <c r="AD3" s="8" t="s">
        <v>61</v>
      </c>
      <c r="AE3" s="8">
        <v>21</v>
      </c>
      <c r="AF3" s="8">
        <v>22</v>
      </c>
      <c r="AG3" s="8">
        <v>23</v>
      </c>
      <c r="AH3" s="8" t="s">
        <v>62</v>
      </c>
      <c r="AI3" s="8" t="s">
        <v>63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>
      <c r="A4" s="76"/>
      <c r="B4" s="20" t="s">
        <v>18</v>
      </c>
      <c r="C4" s="11">
        <v>1</v>
      </c>
      <c r="D4" s="11">
        <v>2</v>
      </c>
      <c r="E4" s="10">
        <v>2</v>
      </c>
      <c r="F4" s="11">
        <v>1</v>
      </c>
      <c r="G4" s="14">
        <v>1</v>
      </c>
      <c r="H4" s="14">
        <v>1</v>
      </c>
      <c r="I4" s="10">
        <v>1</v>
      </c>
      <c r="J4" s="11">
        <v>1</v>
      </c>
      <c r="K4" s="10">
        <v>1</v>
      </c>
      <c r="L4" s="11">
        <v>1</v>
      </c>
      <c r="M4" s="14">
        <v>1</v>
      </c>
      <c r="N4" s="11">
        <v>1</v>
      </c>
      <c r="O4" s="15">
        <v>1</v>
      </c>
      <c r="P4" s="13">
        <v>1</v>
      </c>
      <c r="Q4" s="12">
        <v>1</v>
      </c>
      <c r="R4" s="13">
        <v>1</v>
      </c>
      <c r="S4" s="12">
        <v>1</v>
      </c>
      <c r="T4" s="13">
        <v>1</v>
      </c>
      <c r="U4" s="12">
        <v>2</v>
      </c>
      <c r="V4" s="12">
        <v>2</v>
      </c>
      <c r="W4" s="15">
        <v>1</v>
      </c>
      <c r="X4" s="13">
        <v>1</v>
      </c>
      <c r="Y4" s="12">
        <v>2</v>
      </c>
      <c r="Z4" s="13">
        <v>1</v>
      </c>
      <c r="AA4" s="13">
        <v>1</v>
      </c>
      <c r="AB4" s="12">
        <v>1</v>
      </c>
      <c r="AC4" s="31">
        <v>1</v>
      </c>
      <c r="AD4" s="25">
        <v>1</v>
      </c>
      <c r="AE4" s="26">
        <v>2</v>
      </c>
      <c r="AF4" s="25">
        <v>2</v>
      </c>
      <c r="AG4" s="31">
        <v>1</v>
      </c>
      <c r="AH4" s="31">
        <v>1</v>
      </c>
      <c r="AI4" s="26">
        <v>1</v>
      </c>
      <c r="AJ4" s="26">
        <f t="shared" ref="AJ4:AJ24" si="0">SUM(C4:AI4)</f>
        <v>40</v>
      </c>
      <c r="AK4" s="14">
        <f>AH4+AG4+AC4+W4+O4+M4+H4+G4</f>
        <v>8</v>
      </c>
      <c r="AL4" s="11">
        <f>AF4+AD4+AA4+Z4+X4+T4+R4+P4+N4+L4+J4+F4+D4+C4</f>
        <v>16</v>
      </c>
      <c r="AM4" s="10">
        <f>AI4+AE4+AB4+Y4+V4+U4+S4+Q4+K4+I4+E4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si="0"/>
        <v>0</v>
      </c>
      <c r="AK5" s="14">
        <f t="shared" ref="AK5:AK24" si="1">AH5+AG5+AC5+W5+O5+M5+H5+G5</f>
        <v>0</v>
      </c>
      <c r="AL5" s="11">
        <f t="shared" ref="AL5:AL24" si="2">AF5+AD5+AA5+Z5+X5+T5+R5+P5+N5+L5+J5+F5+D5+C5</f>
        <v>0</v>
      </c>
      <c r="AM5" s="10">
        <f t="shared" ref="AM5:AM24" si="3">AI5+AE5+AB5+Y5+V5+U5+S5+Q5+K5+I5+E5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11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11">
        <f t="shared" si="2"/>
        <v>0</v>
      </c>
      <c r="AM7" s="10">
        <f t="shared" si="3"/>
        <v>0</v>
      </c>
    </row>
    <row r="8" spans="1:46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11">
        <f t="shared" si="2"/>
        <v>0</v>
      </c>
      <c r="AM8" s="10">
        <f t="shared" si="3"/>
        <v>0</v>
      </c>
    </row>
    <row r="9" spans="1:46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11">
        <f t="shared" si="2"/>
        <v>0</v>
      </c>
      <c r="AM9" s="10">
        <f t="shared" si="3"/>
        <v>0</v>
      </c>
    </row>
    <row r="10" spans="1:46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11">
        <f t="shared" si="2"/>
        <v>0</v>
      </c>
      <c r="AM10" s="10">
        <f t="shared" si="3"/>
        <v>0</v>
      </c>
    </row>
    <row r="11" spans="1:46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11">
        <f t="shared" si="2"/>
        <v>0</v>
      </c>
      <c r="AM11" s="10">
        <f t="shared" si="3"/>
        <v>0</v>
      </c>
    </row>
    <row r="12" spans="1:46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11">
        <f t="shared" si="2"/>
        <v>0</v>
      </c>
      <c r="AM12" s="10">
        <f t="shared" si="3"/>
        <v>0</v>
      </c>
    </row>
    <row r="13" spans="1:46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11">
        <f t="shared" si="2"/>
        <v>0</v>
      </c>
      <c r="AM13" s="10">
        <f t="shared" si="3"/>
        <v>0</v>
      </c>
    </row>
    <row r="14" spans="1:46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11">
        <f t="shared" si="2"/>
        <v>0</v>
      </c>
      <c r="AM14" s="10">
        <f t="shared" si="3"/>
        <v>0</v>
      </c>
    </row>
    <row r="15" spans="1:46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11">
        <f t="shared" si="2"/>
        <v>0</v>
      </c>
      <c r="AM15" s="10">
        <f t="shared" si="3"/>
        <v>0</v>
      </c>
    </row>
    <row r="16" spans="1:46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11">
        <f t="shared" si="2"/>
        <v>0</v>
      </c>
      <c r="AM16" s="10">
        <f t="shared" si="3"/>
        <v>0</v>
      </c>
    </row>
    <row r="17" spans="1:39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11">
        <f t="shared" si="2"/>
        <v>0</v>
      </c>
      <c r="AM17" s="10">
        <f t="shared" si="3"/>
        <v>0</v>
      </c>
    </row>
    <row r="18" spans="1:39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11">
        <f t="shared" si="2"/>
        <v>0</v>
      </c>
      <c r="AM18" s="10">
        <f t="shared" si="3"/>
        <v>0</v>
      </c>
    </row>
    <row r="19" spans="1:39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11">
        <f t="shared" si="2"/>
        <v>0</v>
      </c>
      <c r="AM19" s="10">
        <f t="shared" si="3"/>
        <v>0</v>
      </c>
    </row>
    <row r="20" spans="1:39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11">
        <f t="shared" si="2"/>
        <v>0</v>
      </c>
      <c r="AM20" s="10">
        <f t="shared" si="3"/>
        <v>0</v>
      </c>
    </row>
    <row r="21" spans="1:39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11">
        <f t="shared" si="2"/>
        <v>0</v>
      </c>
      <c r="AM21" s="10">
        <f t="shared" si="3"/>
        <v>0</v>
      </c>
    </row>
    <row r="22" spans="1:39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11">
        <f t="shared" si="2"/>
        <v>0</v>
      </c>
      <c r="AM22" s="10">
        <f t="shared" si="3"/>
        <v>0</v>
      </c>
    </row>
    <row r="23" spans="1:39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11">
        <f t="shared" si="2"/>
        <v>0</v>
      </c>
      <c r="AM23" s="10">
        <f t="shared" si="3"/>
        <v>0</v>
      </c>
    </row>
    <row r="24" spans="1:39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11">
        <f t="shared" si="2"/>
        <v>0</v>
      </c>
      <c r="AM24" s="10">
        <f t="shared" si="3"/>
        <v>0</v>
      </c>
    </row>
    <row r="25" spans="1:39" ht="28.5" thickBot="1">
      <c r="A25" s="77" t="s">
        <v>19</v>
      </c>
      <c r="B25" s="78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>
        <f t="shared" si="4"/>
        <v>0</v>
      </c>
      <c r="AK25" s="19">
        <f>SUM(AK5:AK24)</f>
        <v>0</v>
      </c>
      <c r="AL25" s="19">
        <f>SUM(AL5:AL24)</f>
        <v>0</v>
      </c>
      <c r="AM25" s="19">
        <f>SUM(AM5:AM24)</f>
        <v>0</v>
      </c>
    </row>
    <row r="26" spans="1:39" ht="51.75" customHeight="1" thickTop="1" thickBot="1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>
        <f t="shared" si="5"/>
        <v>0</v>
      </c>
      <c r="AK26" s="19"/>
      <c r="AL26" s="19"/>
      <c r="AM26" s="19"/>
    </row>
    <row r="27" spans="1:39" ht="29.25" thickTop="1" thickBot="1">
      <c r="A27" s="79" t="s">
        <v>110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str">
        <f t="shared" si="6"/>
        <v xml:space="preserve"> يحتاج الى تدخل سريع</v>
      </c>
    </row>
    <row r="28" spans="1:39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105" priority="8" operator="between">
      <formula>1</formula>
      <formula>5</formula>
    </cfRule>
    <cfRule type="cellIs" dxfId="104" priority="9" operator="lessThan">
      <formula>1</formula>
    </cfRule>
    <cfRule type="containsText" dxfId="103" priority="10" operator="containsText" text="0">
      <formula>NOT(ISERROR(SEARCH("0",C5)))</formula>
    </cfRule>
    <cfRule type="containsText" dxfId="102" priority="11" operator="containsText" text="0">
      <formula>NOT(ISERROR(SEARCH("0",C5)))</formula>
    </cfRule>
    <cfRule type="containsText" dxfId="101" priority="12" operator="containsText" text="1">
      <formula>NOT(ISERROR(SEARCH("1",C5)))</formula>
    </cfRule>
    <cfRule type="containsText" dxfId="100" priority="13" operator="containsText" text="0">
      <formula>NOT(ISERROR(SEARCH("0",C5)))</formula>
    </cfRule>
  </conditionalFormatting>
  <conditionalFormatting sqref="C26:AJ26">
    <cfRule type="cellIs" dxfId="99" priority="1" operator="between">
      <formula>40</formula>
      <formula>50</formula>
    </cfRule>
    <cfRule type="cellIs" dxfId="98" priority="3" operator="greaterThan">
      <formula>70</formula>
    </cfRule>
    <cfRule type="cellIs" dxfId="97" priority="4" operator="between">
      <formula>60</formula>
      <formula>70</formula>
    </cfRule>
    <cfRule type="cellIs" dxfId="96" priority="5" operator="lessThan">
      <formula>40</formula>
    </cfRule>
    <cfRule type="cellIs" dxfId="95" priority="6" operator="between">
      <formula>50</formula>
      <formula>60</formula>
    </cfRule>
  </conditionalFormatting>
  <conditionalFormatting sqref="C27:AJ27">
    <cfRule type="cellIs" dxfId="94" priority="7" operator="between">
      <formula>70</formula>
      <formula>100</formula>
    </cfRule>
  </conditionalFormatting>
  <conditionalFormatting sqref="AQ6:AT6">
    <cfRule type="expression" dxfId="93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AR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C5" sqref="C5:AG19"/>
    </sheetView>
  </sheetViews>
  <sheetFormatPr defaultRowHeight="14.25"/>
  <cols>
    <col min="1" max="1" width="4" style="2" customWidth="1"/>
    <col min="2" max="2" width="37.125" style="2" customWidth="1"/>
    <col min="3" max="3" width="11.125" bestFit="1" customWidth="1"/>
    <col min="4" max="4" width="14.625" customWidth="1"/>
    <col min="5" max="9" width="10.25" bestFit="1" customWidth="1"/>
    <col min="10" max="10" width="10.25" customWidth="1"/>
    <col min="11" max="14" width="10.25" bestFit="1" customWidth="1"/>
    <col min="15" max="15" width="10.25" customWidth="1"/>
    <col min="16" max="29" width="10.25" bestFit="1" customWidth="1"/>
    <col min="30" max="33" width="10.25" customWidth="1"/>
    <col min="34" max="34" width="13" customWidth="1"/>
    <col min="35" max="35" width="14.625" customWidth="1"/>
    <col min="36" max="36" width="20.125" customWidth="1"/>
    <col min="37" max="37" width="16.25" customWidth="1"/>
    <col min="38" max="38" width="9.125" customWidth="1"/>
    <col min="39" max="39" width="0.25" customWidth="1"/>
    <col min="40" max="40" width="16.75" customWidth="1"/>
    <col min="41" max="41" width="16" customWidth="1"/>
    <col min="42" max="42" width="15.25" customWidth="1"/>
    <col min="43" max="43" width="15.625" customWidth="1"/>
    <col min="44" max="44" width="16" customWidth="1"/>
  </cols>
  <sheetData>
    <row r="3" spans="1:44" ht="50.25" customHeight="1">
      <c r="A3" s="75" t="s">
        <v>2</v>
      </c>
      <c r="B3" s="21" t="s">
        <v>17</v>
      </c>
      <c r="C3" s="8">
        <v>2</v>
      </c>
      <c r="D3" s="8">
        <v>3</v>
      </c>
      <c r="E3" s="8">
        <v>4</v>
      </c>
      <c r="F3" s="8" t="s">
        <v>64</v>
      </c>
      <c r="G3" s="8" t="s">
        <v>65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 t="s">
        <v>20</v>
      </c>
      <c r="N3" s="8" t="s">
        <v>21</v>
      </c>
      <c r="O3" s="8" t="s">
        <v>59</v>
      </c>
      <c r="P3" s="8">
        <v>12</v>
      </c>
      <c r="Q3" s="8">
        <v>13</v>
      </c>
      <c r="R3" s="8">
        <v>14</v>
      </c>
      <c r="S3" s="8">
        <v>15</v>
      </c>
      <c r="T3" s="8">
        <v>16</v>
      </c>
      <c r="U3" s="8" t="s">
        <v>38</v>
      </c>
      <c r="V3" s="8" t="s">
        <v>28</v>
      </c>
      <c r="W3" s="8">
        <v>18</v>
      </c>
      <c r="X3" s="8">
        <v>19</v>
      </c>
      <c r="Y3" s="8" t="s">
        <v>60</v>
      </c>
      <c r="Z3" s="8" t="s">
        <v>61</v>
      </c>
      <c r="AA3" s="8">
        <v>21</v>
      </c>
      <c r="AB3" s="8">
        <v>22</v>
      </c>
      <c r="AC3" s="8">
        <v>23</v>
      </c>
      <c r="AD3" s="8" t="s">
        <v>62</v>
      </c>
      <c r="AE3" s="8" t="s">
        <v>63</v>
      </c>
      <c r="AF3" s="8" t="s">
        <v>66</v>
      </c>
      <c r="AG3" s="8" t="s">
        <v>67</v>
      </c>
      <c r="AH3" s="8" t="s">
        <v>29</v>
      </c>
      <c r="AI3" s="16" t="s">
        <v>10</v>
      </c>
      <c r="AJ3" s="17" t="s">
        <v>9</v>
      </c>
      <c r="AK3" s="18" t="s">
        <v>8</v>
      </c>
    </row>
    <row r="4" spans="1:44" ht="69" customHeight="1">
      <c r="A4" s="76"/>
      <c r="B4" s="20" t="s">
        <v>18</v>
      </c>
      <c r="C4" s="10">
        <v>2</v>
      </c>
      <c r="D4" s="14">
        <v>1</v>
      </c>
      <c r="E4" s="14">
        <v>1</v>
      </c>
      <c r="F4" s="11">
        <v>2</v>
      </c>
      <c r="G4" s="11">
        <v>1</v>
      </c>
      <c r="H4" s="11">
        <v>1</v>
      </c>
      <c r="I4" s="10">
        <v>1</v>
      </c>
      <c r="J4" s="10">
        <v>1</v>
      </c>
      <c r="K4" s="14">
        <v>1</v>
      </c>
      <c r="L4" s="11">
        <v>1</v>
      </c>
      <c r="M4" s="13">
        <v>1</v>
      </c>
      <c r="N4" s="15">
        <v>2</v>
      </c>
      <c r="O4" s="12">
        <v>2</v>
      </c>
      <c r="P4" s="13">
        <v>1</v>
      </c>
      <c r="Q4" s="12">
        <v>2</v>
      </c>
      <c r="R4" s="12">
        <v>1</v>
      </c>
      <c r="S4" s="13">
        <v>1</v>
      </c>
      <c r="T4" s="12">
        <v>2</v>
      </c>
      <c r="U4" s="15">
        <v>1</v>
      </c>
      <c r="V4" s="13">
        <v>1</v>
      </c>
      <c r="W4" s="13">
        <v>2</v>
      </c>
      <c r="X4" s="12">
        <v>1</v>
      </c>
      <c r="Y4" s="13">
        <v>2</v>
      </c>
      <c r="Z4" s="25">
        <v>1</v>
      </c>
      <c r="AA4" s="31">
        <v>1</v>
      </c>
      <c r="AB4" s="26">
        <v>2</v>
      </c>
      <c r="AC4" s="26">
        <v>1</v>
      </c>
      <c r="AD4" s="26">
        <v>1</v>
      </c>
      <c r="AE4" s="25">
        <v>1</v>
      </c>
      <c r="AF4" s="25">
        <v>1</v>
      </c>
      <c r="AG4" s="31">
        <v>1</v>
      </c>
      <c r="AH4" s="26">
        <f>SUM(C4:AG4)</f>
        <v>40</v>
      </c>
      <c r="AI4" s="14">
        <f>AG4+AA4+U4+N4+K4+E4+D4</f>
        <v>8</v>
      </c>
      <c r="AJ4" s="11">
        <f>AF4+AE4+Z4+Y4+W4+V4+S4+P4+M4+L4+H4+G4+F4</f>
        <v>16</v>
      </c>
      <c r="AK4" s="10">
        <f>AD4+AC4+AB4+X4+T4+R4+Q4+O4+J4+I4+C4</f>
        <v>16</v>
      </c>
      <c r="AN4" s="27" t="s">
        <v>39</v>
      </c>
      <c r="AO4" s="14" t="s">
        <v>40</v>
      </c>
      <c r="AP4" s="10" t="s">
        <v>41</v>
      </c>
      <c r="AQ4" s="28" t="s">
        <v>42</v>
      </c>
      <c r="AR4" s="11" t="s">
        <v>43</v>
      </c>
    </row>
    <row r="5" spans="1:44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26">
        <f t="shared" ref="AH5:AH24" si="0">SUM(C5:AG5)</f>
        <v>0</v>
      </c>
      <c r="AI5" s="14">
        <f t="shared" ref="AI5:AI24" si="1">AG5+AA5+U5+N5+K5+E5+D5</f>
        <v>0</v>
      </c>
      <c r="AJ5" s="11">
        <f t="shared" ref="AJ5:AJ24" si="2">AF5+AE5+Z5+Y5+W5+V5+S5+P5+M5+L5+H5+G5+F5</f>
        <v>0</v>
      </c>
      <c r="AK5" s="10">
        <f t="shared" ref="AK5:AK24" si="3">AD5+AC5+AB5+X5+T5+R5+Q5+O5+J5+I5+C5</f>
        <v>0</v>
      </c>
      <c r="AN5" s="29" t="s">
        <v>44</v>
      </c>
      <c r="AO5" s="14" t="s">
        <v>45</v>
      </c>
      <c r="AP5" s="10" t="s">
        <v>46</v>
      </c>
      <c r="AQ5" s="28" t="s">
        <v>47</v>
      </c>
      <c r="AR5" s="11" t="s">
        <v>48</v>
      </c>
    </row>
    <row r="6" spans="1:44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26">
        <f t="shared" si="0"/>
        <v>0</v>
      </c>
      <c r="AI6" s="14">
        <f t="shared" si="1"/>
        <v>0</v>
      </c>
      <c r="AJ6" s="11">
        <f t="shared" si="2"/>
        <v>0</v>
      </c>
      <c r="AK6" s="10">
        <f t="shared" si="3"/>
        <v>0</v>
      </c>
      <c r="AN6">
        <v>71</v>
      </c>
      <c r="AO6">
        <v>71</v>
      </c>
      <c r="AP6">
        <v>71</v>
      </c>
      <c r="AQ6">
        <v>71</v>
      </c>
      <c r="AR6">
        <v>71</v>
      </c>
    </row>
    <row r="7" spans="1:44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26">
        <f t="shared" si="0"/>
        <v>0</v>
      </c>
      <c r="AI7" s="14">
        <f t="shared" si="1"/>
        <v>0</v>
      </c>
      <c r="AJ7" s="11">
        <f t="shared" si="2"/>
        <v>0</v>
      </c>
      <c r="AK7" s="10">
        <f t="shared" si="3"/>
        <v>0</v>
      </c>
    </row>
    <row r="8" spans="1:44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26">
        <f t="shared" si="0"/>
        <v>0</v>
      </c>
      <c r="AI8" s="14">
        <f t="shared" si="1"/>
        <v>0</v>
      </c>
      <c r="AJ8" s="11">
        <f t="shared" si="2"/>
        <v>0</v>
      </c>
      <c r="AK8" s="10">
        <f t="shared" si="3"/>
        <v>0</v>
      </c>
    </row>
    <row r="9" spans="1:44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26">
        <f t="shared" si="0"/>
        <v>0</v>
      </c>
      <c r="AI9" s="14">
        <f t="shared" si="1"/>
        <v>0</v>
      </c>
      <c r="AJ9" s="11">
        <f t="shared" si="2"/>
        <v>0</v>
      </c>
      <c r="AK9" s="10">
        <f t="shared" si="3"/>
        <v>0</v>
      </c>
    </row>
    <row r="10" spans="1:44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26">
        <f t="shared" si="0"/>
        <v>0</v>
      </c>
      <c r="AI10" s="14">
        <f t="shared" si="1"/>
        <v>0</v>
      </c>
      <c r="AJ10" s="11">
        <f t="shared" si="2"/>
        <v>0</v>
      </c>
      <c r="AK10" s="10">
        <f t="shared" si="3"/>
        <v>0</v>
      </c>
    </row>
    <row r="11" spans="1:44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26">
        <f t="shared" si="0"/>
        <v>0</v>
      </c>
      <c r="AI11" s="14">
        <f t="shared" si="1"/>
        <v>0</v>
      </c>
      <c r="AJ11" s="11">
        <f t="shared" si="2"/>
        <v>0</v>
      </c>
      <c r="AK11" s="10">
        <f t="shared" si="3"/>
        <v>0</v>
      </c>
    </row>
    <row r="12" spans="1:44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26">
        <f t="shared" si="0"/>
        <v>0</v>
      </c>
      <c r="AI12" s="14">
        <f t="shared" si="1"/>
        <v>0</v>
      </c>
      <c r="AJ12" s="11">
        <f t="shared" si="2"/>
        <v>0</v>
      </c>
      <c r="AK12" s="10">
        <f t="shared" si="3"/>
        <v>0</v>
      </c>
    </row>
    <row r="13" spans="1:44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26">
        <f t="shared" si="0"/>
        <v>0</v>
      </c>
      <c r="AI13" s="14">
        <f t="shared" si="1"/>
        <v>0</v>
      </c>
      <c r="AJ13" s="11">
        <f t="shared" si="2"/>
        <v>0</v>
      </c>
      <c r="AK13" s="10">
        <f t="shared" si="3"/>
        <v>0</v>
      </c>
    </row>
    <row r="14" spans="1:44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6">
        <f t="shared" si="0"/>
        <v>0</v>
      </c>
      <c r="AI14" s="14">
        <f t="shared" si="1"/>
        <v>0</v>
      </c>
      <c r="AJ14" s="11">
        <f t="shared" si="2"/>
        <v>0</v>
      </c>
      <c r="AK14" s="10">
        <f t="shared" si="3"/>
        <v>0</v>
      </c>
    </row>
    <row r="15" spans="1:44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6">
        <f t="shared" si="0"/>
        <v>0</v>
      </c>
      <c r="AI15" s="14">
        <f t="shared" si="1"/>
        <v>0</v>
      </c>
      <c r="AJ15" s="11">
        <f t="shared" si="2"/>
        <v>0</v>
      </c>
      <c r="AK15" s="10">
        <f t="shared" si="3"/>
        <v>0</v>
      </c>
    </row>
    <row r="16" spans="1:44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6">
        <f t="shared" si="0"/>
        <v>0</v>
      </c>
      <c r="AI16" s="14">
        <f t="shared" si="1"/>
        <v>0</v>
      </c>
      <c r="AJ16" s="11">
        <f t="shared" si="2"/>
        <v>0</v>
      </c>
      <c r="AK16" s="10">
        <f t="shared" si="3"/>
        <v>0</v>
      </c>
    </row>
    <row r="17" spans="1:37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6">
        <f t="shared" si="0"/>
        <v>0</v>
      </c>
      <c r="AI17" s="14">
        <f t="shared" si="1"/>
        <v>0</v>
      </c>
      <c r="AJ17" s="11">
        <f t="shared" si="2"/>
        <v>0</v>
      </c>
      <c r="AK17" s="10">
        <f t="shared" si="3"/>
        <v>0</v>
      </c>
    </row>
    <row r="18" spans="1:37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26">
        <f t="shared" si="0"/>
        <v>0</v>
      </c>
      <c r="AI18" s="14">
        <f t="shared" si="1"/>
        <v>0</v>
      </c>
      <c r="AJ18" s="11">
        <f t="shared" si="2"/>
        <v>0</v>
      </c>
      <c r="AK18" s="10">
        <f t="shared" si="3"/>
        <v>0</v>
      </c>
    </row>
    <row r="19" spans="1:37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26">
        <f t="shared" si="0"/>
        <v>0</v>
      </c>
      <c r="AI19" s="14">
        <f t="shared" si="1"/>
        <v>0</v>
      </c>
      <c r="AJ19" s="11">
        <f t="shared" si="2"/>
        <v>0</v>
      </c>
      <c r="AK19" s="10">
        <f t="shared" si="3"/>
        <v>0</v>
      </c>
    </row>
    <row r="20" spans="1:37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26">
        <f t="shared" si="0"/>
        <v>0</v>
      </c>
      <c r="AI20" s="14">
        <f t="shared" si="1"/>
        <v>0</v>
      </c>
      <c r="AJ20" s="11">
        <f t="shared" si="2"/>
        <v>0</v>
      </c>
      <c r="AK20" s="10">
        <f t="shared" si="3"/>
        <v>0</v>
      </c>
    </row>
    <row r="21" spans="1:37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26">
        <f t="shared" si="0"/>
        <v>0</v>
      </c>
      <c r="AI21" s="14">
        <f t="shared" si="1"/>
        <v>0</v>
      </c>
      <c r="AJ21" s="11">
        <f t="shared" si="2"/>
        <v>0</v>
      </c>
      <c r="AK21" s="10">
        <f t="shared" si="3"/>
        <v>0</v>
      </c>
    </row>
    <row r="22" spans="1:37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26">
        <f t="shared" si="0"/>
        <v>0</v>
      </c>
      <c r="AI22" s="14">
        <f t="shared" si="1"/>
        <v>0</v>
      </c>
      <c r="AJ22" s="11">
        <f t="shared" si="2"/>
        <v>0</v>
      </c>
      <c r="AK22" s="10">
        <f t="shared" si="3"/>
        <v>0</v>
      </c>
    </row>
    <row r="23" spans="1:37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26">
        <f t="shared" si="0"/>
        <v>0</v>
      </c>
      <c r="AI23" s="14">
        <f t="shared" si="1"/>
        <v>0</v>
      </c>
      <c r="AJ23" s="11">
        <f t="shared" si="2"/>
        <v>0</v>
      </c>
      <c r="AK23" s="10">
        <f t="shared" si="3"/>
        <v>0</v>
      </c>
    </row>
    <row r="24" spans="1:37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26">
        <f t="shared" si="0"/>
        <v>0</v>
      </c>
      <c r="AI24" s="14">
        <f t="shared" si="1"/>
        <v>0</v>
      </c>
      <c r="AJ24" s="11">
        <f t="shared" si="2"/>
        <v>0</v>
      </c>
      <c r="AK24" s="10">
        <f t="shared" si="3"/>
        <v>0</v>
      </c>
    </row>
    <row r="25" spans="1:37" ht="28.5" thickBot="1">
      <c r="A25" s="77" t="s">
        <v>19</v>
      </c>
      <c r="B25" s="78"/>
      <c r="C25" s="4" t="e">
        <f t="shared" ref="C25:AH25" si="4">AVERAGE(C5:C24)</f>
        <v>#DIV/0!</v>
      </c>
      <c r="D25" s="4" t="e">
        <f t="shared" si="4"/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/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>
        <f t="shared" si="4"/>
        <v>0</v>
      </c>
      <c r="AI25" s="19">
        <f>SUM(AI5:AI24)</f>
        <v>0</v>
      </c>
      <c r="AJ25" s="19">
        <f>SUM(AJ5:AJ24)</f>
        <v>0</v>
      </c>
      <c r="AK25" s="19">
        <f>SUM(AK5:AK24)</f>
        <v>0</v>
      </c>
    </row>
    <row r="26" spans="1:37" ht="51.75" customHeight="1" thickTop="1" thickBot="1">
      <c r="A26" s="22"/>
      <c r="B26" s="23" t="s">
        <v>34</v>
      </c>
      <c r="C26" s="30" t="e">
        <f t="shared" ref="C26:AH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/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>
        <f t="shared" si="5"/>
        <v>0</v>
      </c>
      <c r="AI26" s="19"/>
      <c r="AJ26" s="19"/>
      <c r="AK26" s="19"/>
    </row>
    <row r="27" spans="1:37" ht="29.25" thickTop="1" thickBot="1">
      <c r="A27" s="79" t="s">
        <v>110</v>
      </c>
      <c r="B27" s="80"/>
      <c r="C27" s="30" t="e">
        <f t="shared" ref="C27:AC27" si="6"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si="6"/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/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2"/>
      <c r="AE27" s="32"/>
      <c r="AF27" s="32"/>
      <c r="AG27" s="32"/>
    </row>
    <row r="28" spans="1:37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G24">
    <cfRule type="cellIs" dxfId="92" priority="8" operator="between">
      <formula>1</formula>
      <formula>5</formula>
    </cfRule>
    <cfRule type="cellIs" dxfId="91" priority="9" operator="lessThan">
      <formula>1</formula>
    </cfRule>
    <cfRule type="containsText" dxfId="90" priority="10" operator="containsText" text="0">
      <formula>NOT(ISERROR(SEARCH("0",C5)))</formula>
    </cfRule>
    <cfRule type="containsText" dxfId="89" priority="11" operator="containsText" text="0">
      <formula>NOT(ISERROR(SEARCH("0",C5)))</formula>
    </cfRule>
    <cfRule type="containsText" dxfId="88" priority="12" operator="containsText" text="1">
      <formula>NOT(ISERROR(SEARCH("1",C5)))</formula>
    </cfRule>
    <cfRule type="containsText" dxfId="87" priority="13" operator="containsText" text="0">
      <formula>NOT(ISERROR(SEARCH("0",C5)))</formula>
    </cfRule>
  </conditionalFormatting>
  <conditionalFormatting sqref="C27:AG27">
    <cfRule type="cellIs" dxfId="86" priority="7" operator="between">
      <formula>70</formula>
      <formula>100</formula>
    </cfRule>
  </conditionalFormatting>
  <conditionalFormatting sqref="C26:AH26">
    <cfRule type="cellIs" dxfId="85" priority="1" operator="between">
      <formula>40</formula>
      <formula>50</formula>
    </cfRule>
    <cfRule type="cellIs" dxfId="84" priority="3" operator="greaterThan">
      <formula>70</formula>
    </cfRule>
    <cfRule type="cellIs" dxfId="83" priority="4" operator="between">
      <formula>60</formula>
      <formula>70</formula>
    </cfRule>
    <cfRule type="cellIs" dxfId="82" priority="5" operator="lessThan">
      <formula>40</formula>
    </cfRule>
    <cfRule type="cellIs" dxfId="81" priority="6" operator="between">
      <formula>50</formula>
      <formula>60</formula>
    </cfRule>
  </conditionalFormatting>
  <conditionalFormatting sqref="AO6:AR6">
    <cfRule type="expression" dxfId="80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R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D5" sqref="D5:AG22"/>
    </sheetView>
  </sheetViews>
  <sheetFormatPr defaultRowHeight="14.25"/>
  <cols>
    <col min="1" max="1" width="4" style="2" customWidth="1"/>
    <col min="2" max="2" width="37.125" style="2" customWidth="1"/>
    <col min="3" max="3" width="13.625" style="2" customWidth="1"/>
    <col min="4" max="4" width="11.125" bestFit="1" customWidth="1"/>
    <col min="5" max="5" width="14.625" customWidth="1"/>
    <col min="6" max="10" width="10.25" bestFit="1" customWidth="1"/>
    <col min="11" max="11" width="10.25" customWidth="1"/>
    <col min="12" max="15" width="10.25" bestFit="1" customWidth="1"/>
    <col min="16" max="16" width="10.25" customWidth="1"/>
    <col min="17" max="30" width="10.25" bestFit="1" customWidth="1"/>
    <col min="31" max="33" width="10.25" customWidth="1"/>
    <col min="34" max="34" width="13" customWidth="1"/>
    <col min="35" max="35" width="14.625" customWidth="1"/>
    <col min="36" max="36" width="20.125" customWidth="1"/>
    <col min="37" max="37" width="16.25" customWidth="1"/>
    <col min="38" max="38" width="9.125" customWidth="1"/>
    <col min="39" max="39" width="0.25" customWidth="1"/>
    <col min="40" max="40" width="16.75" customWidth="1"/>
    <col min="41" max="41" width="16" customWidth="1"/>
    <col min="42" max="42" width="15.25" customWidth="1"/>
    <col min="43" max="43" width="15.625" customWidth="1"/>
    <col min="44" max="44" width="16" customWidth="1"/>
  </cols>
  <sheetData>
    <row r="3" spans="1:44" ht="50.25" customHeight="1">
      <c r="A3" s="75" t="s">
        <v>2</v>
      </c>
      <c r="B3" s="21" t="s">
        <v>17</v>
      </c>
      <c r="C3" s="21">
        <v>1</v>
      </c>
      <c r="D3" s="8" t="s">
        <v>75</v>
      </c>
      <c r="E3" s="8" t="s">
        <v>76</v>
      </c>
      <c r="F3" s="8">
        <v>3</v>
      </c>
      <c r="G3" s="8" t="s">
        <v>14</v>
      </c>
      <c r="H3" s="8" t="s">
        <v>3</v>
      </c>
      <c r="I3" s="8">
        <v>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 t="s">
        <v>22</v>
      </c>
      <c r="Q3" s="8" t="s">
        <v>23</v>
      </c>
      <c r="R3" s="8">
        <v>13</v>
      </c>
      <c r="S3" s="8">
        <v>14</v>
      </c>
      <c r="T3" s="8">
        <v>15</v>
      </c>
      <c r="U3" s="8">
        <v>16</v>
      </c>
      <c r="V3" s="8" t="s">
        <v>38</v>
      </c>
      <c r="W3" s="8" t="s">
        <v>28</v>
      </c>
      <c r="X3" s="8">
        <v>18</v>
      </c>
      <c r="Y3" s="8">
        <v>19</v>
      </c>
      <c r="Z3" s="8">
        <v>20</v>
      </c>
      <c r="AA3" s="8" t="s">
        <v>32</v>
      </c>
      <c r="AB3" s="8" t="s">
        <v>33</v>
      </c>
      <c r="AC3" s="8">
        <v>22</v>
      </c>
      <c r="AD3" s="8">
        <v>23</v>
      </c>
      <c r="AE3" s="8" t="s">
        <v>62</v>
      </c>
      <c r="AF3" s="8" t="s">
        <v>63</v>
      </c>
      <c r="AG3" s="8" t="s">
        <v>66</v>
      </c>
      <c r="AH3" s="8" t="s">
        <v>29</v>
      </c>
      <c r="AI3" s="16" t="s">
        <v>10</v>
      </c>
      <c r="AJ3" s="17" t="s">
        <v>9</v>
      </c>
      <c r="AK3" s="18" t="s">
        <v>8</v>
      </c>
    </row>
    <row r="4" spans="1:44" ht="69" customHeight="1">
      <c r="A4" s="76"/>
      <c r="B4" s="20" t="s">
        <v>18</v>
      </c>
      <c r="C4" s="45">
        <v>1</v>
      </c>
      <c r="D4" s="11">
        <v>1</v>
      </c>
      <c r="E4" s="11">
        <v>2</v>
      </c>
      <c r="F4" s="10">
        <v>2</v>
      </c>
      <c r="G4" s="14">
        <v>1</v>
      </c>
      <c r="H4" s="14">
        <v>1</v>
      </c>
      <c r="I4" s="11">
        <v>1</v>
      </c>
      <c r="J4" s="10">
        <v>2</v>
      </c>
      <c r="K4" s="14">
        <v>1</v>
      </c>
      <c r="L4" s="11">
        <v>1</v>
      </c>
      <c r="M4" s="11">
        <v>1</v>
      </c>
      <c r="N4" s="12">
        <v>1</v>
      </c>
      <c r="O4" s="12">
        <v>2</v>
      </c>
      <c r="P4" s="13">
        <v>2</v>
      </c>
      <c r="Q4" s="15">
        <v>1</v>
      </c>
      <c r="R4" s="13">
        <v>2</v>
      </c>
      <c r="S4" s="12">
        <v>1</v>
      </c>
      <c r="T4" s="12">
        <v>2</v>
      </c>
      <c r="U4" s="13">
        <v>1</v>
      </c>
      <c r="V4" s="15">
        <v>1</v>
      </c>
      <c r="W4" s="13">
        <v>1</v>
      </c>
      <c r="X4" s="12">
        <v>1</v>
      </c>
      <c r="Y4" s="15">
        <v>1</v>
      </c>
      <c r="Z4" s="12">
        <v>2</v>
      </c>
      <c r="AA4" s="25">
        <v>2</v>
      </c>
      <c r="AB4" s="25">
        <v>1</v>
      </c>
      <c r="AC4" s="26">
        <v>1</v>
      </c>
      <c r="AD4" s="31">
        <v>1</v>
      </c>
      <c r="AE4" s="26">
        <v>1</v>
      </c>
      <c r="AF4" s="25">
        <v>1</v>
      </c>
      <c r="AG4" s="31">
        <v>1</v>
      </c>
      <c r="AH4" s="26">
        <f>SUM(C4:AG4)</f>
        <v>40</v>
      </c>
      <c r="AI4" s="14">
        <f>AG4+AD4+Y4+V4+Q4+K4+H4+G4</f>
        <v>8</v>
      </c>
      <c r="AJ4" s="11">
        <f>AF4+AB4+AA4+W4+U4+R4+P4+M4+L4+I4+E4+D4</f>
        <v>16</v>
      </c>
      <c r="AK4" s="10">
        <f>AE4+AC4+Z4+X4+T4+S4+O4+N4+J4+F4+C4</f>
        <v>16</v>
      </c>
      <c r="AN4" s="27" t="s">
        <v>39</v>
      </c>
      <c r="AO4" s="14" t="s">
        <v>40</v>
      </c>
      <c r="AP4" s="10" t="s">
        <v>41</v>
      </c>
      <c r="AQ4" s="28" t="s">
        <v>42</v>
      </c>
      <c r="AR4" s="11" t="s">
        <v>43</v>
      </c>
    </row>
    <row r="5" spans="1:44" ht="27.75">
      <c r="A5" s="5">
        <v>1</v>
      </c>
      <c r="B5" s="6"/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26">
        <f t="shared" ref="AH5:AH24" si="0">SUM(C5:AG5)</f>
        <v>0</v>
      </c>
      <c r="AI5" s="14">
        <f t="shared" ref="AI5:AI24" si="1">AG5+AD5+Y5+V5+Q5+K5+H5+G5</f>
        <v>0</v>
      </c>
      <c r="AJ5" s="11">
        <f t="shared" ref="AJ5:AJ24" si="2">AF5+AB5+AA5+W5+U5+R5+P5+M5+L5+I5+E5+D5</f>
        <v>0</v>
      </c>
      <c r="AK5" s="10">
        <f t="shared" ref="AK5:AK24" si="3">AE5+AC5+Z5+X5+T5+S5+O5+N5+J5+F5+C5</f>
        <v>0</v>
      </c>
      <c r="AN5" s="29" t="s">
        <v>44</v>
      </c>
      <c r="AO5" s="14" t="s">
        <v>45</v>
      </c>
      <c r="AP5" s="10" t="s">
        <v>46</v>
      </c>
      <c r="AQ5" s="28" t="s">
        <v>47</v>
      </c>
      <c r="AR5" s="11" t="s">
        <v>48</v>
      </c>
    </row>
    <row r="6" spans="1:44" ht="27.75">
      <c r="A6" s="5">
        <v>2</v>
      </c>
      <c r="B6" s="6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26">
        <f t="shared" si="0"/>
        <v>0</v>
      </c>
      <c r="AI6" s="14">
        <f t="shared" si="1"/>
        <v>0</v>
      </c>
      <c r="AJ6" s="11">
        <f t="shared" si="2"/>
        <v>0</v>
      </c>
      <c r="AK6" s="10">
        <f t="shared" si="3"/>
        <v>0</v>
      </c>
      <c r="AN6">
        <v>71</v>
      </c>
      <c r="AO6">
        <v>71</v>
      </c>
      <c r="AP6">
        <v>71</v>
      </c>
      <c r="AQ6">
        <v>71</v>
      </c>
      <c r="AR6">
        <v>71</v>
      </c>
    </row>
    <row r="7" spans="1:44" ht="27.75">
      <c r="A7" s="5">
        <v>3</v>
      </c>
      <c r="B7" s="6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26">
        <f t="shared" si="0"/>
        <v>0</v>
      </c>
      <c r="AI7" s="14">
        <f t="shared" si="1"/>
        <v>0</v>
      </c>
      <c r="AJ7" s="11">
        <f t="shared" si="2"/>
        <v>0</v>
      </c>
      <c r="AK7" s="10">
        <f t="shared" si="3"/>
        <v>0</v>
      </c>
    </row>
    <row r="8" spans="1:44" ht="27.75">
      <c r="A8" s="5">
        <v>4</v>
      </c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26">
        <f t="shared" si="0"/>
        <v>0</v>
      </c>
      <c r="AI8" s="14">
        <f t="shared" si="1"/>
        <v>0</v>
      </c>
      <c r="AJ8" s="11">
        <f t="shared" si="2"/>
        <v>0</v>
      </c>
      <c r="AK8" s="10">
        <f t="shared" si="3"/>
        <v>0</v>
      </c>
    </row>
    <row r="9" spans="1:44" ht="27.75">
      <c r="A9" s="5">
        <v>5</v>
      </c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26">
        <f t="shared" si="0"/>
        <v>0</v>
      </c>
      <c r="AI9" s="14">
        <f t="shared" si="1"/>
        <v>0</v>
      </c>
      <c r="AJ9" s="11">
        <f t="shared" si="2"/>
        <v>0</v>
      </c>
      <c r="AK9" s="10">
        <f t="shared" si="3"/>
        <v>0</v>
      </c>
    </row>
    <row r="10" spans="1:44" ht="27.75">
      <c r="A10" s="5">
        <v>6</v>
      </c>
      <c r="B10" s="6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26">
        <f t="shared" si="0"/>
        <v>0</v>
      </c>
      <c r="AI10" s="14">
        <f t="shared" si="1"/>
        <v>0</v>
      </c>
      <c r="AJ10" s="11">
        <f t="shared" si="2"/>
        <v>0</v>
      </c>
      <c r="AK10" s="10">
        <f t="shared" si="3"/>
        <v>0</v>
      </c>
    </row>
    <row r="11" spans="1:44" ht="27.75">
      <c r="A11" s="5">
        <v>7</v>
      </c>
      <c r="B11" s="6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26">
        <f t="shared" si="0"/>
        <v>0</v>
      </c>
      <c r="AI11" s="14">
        <f t="shared" si="1"/>
        <v>0</v>
      </c>
      <c r="AJ11" s="11">
        <f t="shared" si="2"/>
        <v>0</v>
      </c>
      <c r="AK11" s="10">
        <f t="shared" si="3"/>
        <v>0</v>
      </c>
    </row>
    <row r="12" spans="1:44" ht="27.75">
      <c r="A12" s="5">
        <v>8</v>
      </c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26">
        <f t="shared" si="0"/>
        <v>0</v>
      </c>
      <c r="AI12" s="14">
        <f t="shared" si="1"/>
        <v>0</v>
      </c>
      <c r="AJ12" s="11">
        <f t="shared" si="2"/>
        <v>0</v>
      </c>
      <c r="AK12" s="10">
        <f t="shared" si="3"/>
        <v>0</v>
      </c>
    </row>
    <row r="13" spans="1:44" ht="27.75">
      <c r="A13" s="5">
        <v>9</v>
      </c>
      <c r="B13" s="6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26">
        <f t="shared" si="0"/>
        <v>0</v>
      </c>
      <c r="AI13" s="14">
        <f t="shared" si="1"/>
        <v>0</v>
      </c>
      <c r="AJ13" s="11">
        <f t="shared" si="2"/>
        <v>0</v>
      </c>
      <c r="AK13" s="10">
        <f t="shared" si="3"/>
        <v>0</v>
      </c>
    </row>
    <row r="14" spans="1:44" ht="27.75">
      <c r="A14" s="5">
        <v>10</v>
      </c>
      <c r="B14" s="6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6">
        <f t="shared" si="0"/>
        <v>0</v>
      </c>
      <c r="AI14" s="14">
        <f t="shared" si="1"/>
        <v>0</v>
      </c>
      <c r="AJ14" s="11">
        <f t="shared" si="2"/>
        <v>0</v>
      </c>
      <c r="AK14" s="10">
        <f t="shared" si="3"/>
        <v>0</v>
      </c>
    </row>
    <row r="15" spans="1:44" ht="27.75">
      <c r="A15" s="5">
        <v>11</v>
      </c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6">
        <f t="shared" si="0"/>
        <v>0</v>
      </c>
      <c r="AI15" s="14">
        <f t="shared" si="1"/>
        <v>0</v>
      </c>
      <c r="AJ15" s="11">
        <f t="shared" si="2"/>
        <v>0</v>
      </c>
      <c r="AK15" s="10">
        <f t="shared" si="3"/>
        <v>0</v>
      </c>
    </row>
    <row r="16" spans="1:44" ht="27.75">
      <c r="A16" s="5">
        <v>12</v>
      </c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26">
        <f t="shared" si="0"/>
        <v>0</v>
      </c>
      <c r="AI16" s="14">
        <f t="shared" si="1"/>
        <v>0</v>
      </c>
      <c r="AJ16" s="11">
        <f t="shared" si="2"/>
        <v>0</v>
      </c>
      <c r="AK16" s="10">
        <f t="shared" si="3"/>
        <v>0</v>
      </c>
    </row>
    <row r="17" spans="1:37" ht="27.75">
      <c r="A17" s="5">
        <v>13</v>
      </c>
      <c r="B17" s="6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6">
        <f t="shared" si="0"/>
        <v>0</v>
      </c>
      <c r="AI17" s="14">
        <f t="shared" si="1"/>
        <v>0</v>
      </c>
      <c r="AJ17" s="11">
        <f t="shared" si="2"/>
        <v>0</v>
      </c>
      <c r="AK17" s="10">
        <f t="shared" si="3"/>
        <v>0</v>
      </c>
    </row>
    <row r="18" spans="1:37" ht="27.75">
      <c r="A18" s="5">
        <v>14</v>
      </c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26">
        <f t="shared" si="0"/>
        <v>0</v>
      </c>
      <c r="AI18" s="14">
        <f t="shared" si="1"/>
        <v>0</v>
      </c>
      <c r="AJ18" s="11">
        <f t="shared" si="2"/>
        <v>0</v>
      </c>
      <c r="AK18" s="10">
        <f t="shared" si="3"/>
        <v>0</v>
      </c>
    </row>
    <row r="19" spans="1:37" ht="27.75">
      <c r="A19" s="5">
        <v>15</v>
      </c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26">
        <f t="shared" si="0"/>
        <v>0</v>
      </c>
      <c r="AI19" s="14">
        <f t="shared" si="1"/>
        <v>0</v>
      </c>
      <c r="AJ19" s="11">
        <f t="shared" si="2"/>
        <v>0</v>
      </c>
      <c r="AK19" s="10">
        <f t="shared" si="3"/>
        <v>0</v>
      </c>
    </row>
    <row r="20" spans="1:37" ht="27.75">
      <c r="A20" s="5">
        <v>16</v>
      </c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26">
        <f t="shared" si="0"/>
        <v>0</v>
      </c>
      <c r="AI20" s="14">
        <f t="shared" si="1"/>
        <v>0</v>
      </c>
      <c r="AJ20" s="11">
        <f t="shared" si="2"/>
        <v>0</v>
      </c>
      <c r="AK20" s="10">
        <f t="shared" si="3"/>
        <v>0</v>
      </c>
    </row>
    <row r="21" spans="1:37" ht="27.75">
      <c r="A21" s="5">
        <v>17</v>
      </c>
      <c r="B21" s="6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26">
        <f t="shared" si="0"/>
        <v>0</v>
      </c>
      <c r="AI21" s="14">
        <f t="shared" si="1"/>
        <v>0</v>
      </c>
      <c r="AJ21" s="11">
        <f t="shared" si="2"/>
        <v>0</v>
      </c>
      <c r="AK21" s="10">
        <f t="shared" si="3"/>
        <v>0</v>
      </c>
    </row>
    <row r="22" spans="1:37" ht="27.75">
      <c r="A22" s="5">
        <v>18</v>
      </c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26">
        <f t="shared" si="0"/>
        <v>0</v>
      </c>
      <c r="AI22" s="14">
        <f t="shared" si="1"/>
        <v>0</v>
      </c>
      <c r="AJ22" s="11">
        <f t="shared" si="2"/>
        <v>0</v>
      </c>
      <c r="AK22" s="10">
        <f t="shared" si="3"/>
        <v>0</v>
      </c>
    </row>
    <row r="23" spans="1:37" ht="27.75">
      <c r="A23" s="5">
        <v>19</v>
      </c>
      <c r="B23" s="6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26">
        <f t="shared" si="0"/>
        <v>0</v>
      </c>
      <c r="AI23" s="14">
        <f t="shared" si="1"/>
        <v>0</v>
      </c>
      <c r="AJ23" s="11">
        <f t="shared" si="2"/>
        <v>0</v>
      </c>
      <c r="AK23" s="10">
        <f t="shared" si="3"/>
        <v>0</v>
      </c>
    </row>
    <row r="24" spans="1:37" ht="27.75">
      <c r="A24" s="5">
        <v>20</v>
      </c>
      <c r="B24" s="6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26">
        <f t="shared" si="0"/>
        <v>0</v>
      </c>
      <c r="AI24" s="14">
        <f t="shared" si="1"/>
        <v>0</v>
      </c>
      <c r="AJ24" s="11">
        <f t="shared" si="2"/>
        <v>0</v>
      </c>
      <c r="AK24" s="10">
        <f t="shared" si="3"/>
        <v>0</v>
      </c>
    </row>
    <row r="25" spans="1:37" ht="28.5" thickBot="1">
      <c r="A25" s="77" t="s">
        <v>19</v>
      </c>
      <c r="B25" s="78"/>
      <c r="C25" s="23"/>
      <c r="D25" s="4" t="e">
        <f t="shared" ref="D25:AH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/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>
        <f t="shared" si="4"/>
        <v>0</v>
      </c>
      <c r="AI25" s="19">
        <f>SUM(AI5:AI24)</f>
        <v>0</v>
      </c>
      <c r="AJ25" s="19">
        <f>SUM(AJ5:AJ24)</f>
        <v>0</v>
      </c>
      <c r="AK25" s="19">
        <f>SUM(AK5:AK24)</f>
        <v>0</v>
      </c>
    </row>
    <row r="26" spans="1:37" ht="51.75" customHeight="1" thickTop="1" thickBot="1">
      <c r="A26" s="22"/>
      <c r="B26" s="23" t="s">
        <v>34</v>
      </c>
      <c r="C26" s="43"/>
      <c r="D26" s="30" t="e">
        <f t="shared" ref="D26:AH26" si="5">D25/D4*100</f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/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>
        <f t="shared" si="5"/>
        <v>0</v>
      </c>
      <c r="AI26" s="19"/>
      <c r="AJ26" s="19"/>
      <c r="AK26" s="19"/>
    </row>
    <row r="27" spans="1:37" ht="29.25" thickTop="1" thickBot="1">
      <c r="A27" s="79" t="s">
        <v>4</v>
      </c>
      <c r="B27" s="80"/>
      <c r="C27" s="44"/>
      <c r="D27" s="30" t="e">
        <f t="shared" ref="D27:AD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/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2"/>
      <c r="AF27" s="32"/>
      <c r="AG27" s="32"/>
    </row>
    <row r="28" spans="1:37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D5:AG24">
    <cfRule type="cellIs" dxfId="79" priority="8" operator="between">
      <formula>1</formula>
      <formula>5</formula>
    </cfRule>
    <cfRule type="cellIs" dxfId="78" priority="9" operator="lessThan">
      <formula>1</formula>
    </cfRule>
    <cfRule type="containsText" dxfId="77" priority="10" operator="containsText" text="0">
      <formula>NOT(ISERROR(SEARCH("0",D5)))</formula>
    </cfRule>
    <cfRule type="containsText" dxfId="76" priority="11" operator="containsText" text="0">
      <formula>NOT(ISERROR(SEARCH("0",D5)))</formula>
    </cfRule>
    <cfRule type="containsText" dxfId="75" priority="12" operator="containsText" text="1">
      <formula>NOT(ISERROR(SEARCH("1",D5)))</formula>
    </cfRule>
    <cfRule type="containsText" dxfId="74" priority="13" operator="containsText" text="0">
      <formula>NOT(ISERROR(SEARCH("0",D5)))</formula>
    </cfRule>
  </conditionalFormatting>
  <conditionalFormatting sqref="D27:AG27">
    <cfRule type="cellIs" dxfId="73" priority="7" operator="between">
      <formula>70</formula>
      <formula>100</formula>
    </cfRule>
  </conditionalFormatting>
  <conditionalFormatting sqref="D26:AH26">
    <cfRule type="cellIs" dxfId="72" priority="1" operator="between">
      <formula>40</formula>
      <formula>50</formula>
    </cfRule>
    <cfRule type="cellIs" dxfId="71" priority="3" operator="greaterThan">
      <formula>70</formula>
    </cfRule>
    <cfRule type="cellIs" dxfId="70" priority="4" operator="between">
      <formula>60</formula>
      <formula>70</formula>
    </cfRule>
    <cfRule type="cellIs" dxfId="69" priority="5" operator="lessThan">
      <formula>40</formula>
    </cfRule>
    <cfRule type="cellIs" dxfId="68" priority="6" operator="between">
      <formula>50</formula>
      <formula>60</formula>
    </cfRule>
  </conditionalFormatting>
  <conditionalFormatting sqref="AO6:AR6">
    <cfRule type="expression" dxfId="67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AU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C5" sqref="C5:AH23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10" width="10.25" bestFit="1" customWidth="1"/>
    <col min="11" max="12" width="10.25" customWidth="1"/>
    <col min="13" max="33" width="10.25" bestFit="1" customWidth="1"/>
    <col min="34" max="36" width="10.25" customWidth="1"/>
    <col min="37" max="37" width="13" customWidth="1"/>
    <col min="38" max="38" width="14.625" customWidth="1"/>
    <col min="39" max="39" width="20.125" customWidth="1"/>
    <col min="40" max="40" width="16.25" customWidth="1"/>
    <col min="41" max="41" width="9.125" customWidth="1"/>
    <col min="42" max="42" width="0.25" customWidth="1"/>
    <col min="43" max="43" width="16.75" customWidth="1"/>
    <col min="44" max="44" width="16" customWidth="1"/>
    <col min="45" max="45" width="15.25" customWidth="1"/>
    <col min="46" max="46" width="15.625" customWidth="1"/>
    <col min="47" max="47" width="16" customWidth="1"/>
  </cols>
  <sheetData>
    <row r="3" spans="1:47" ht="50.25" customHeight="1">
      <c r="A3" s="75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 t="s">
        <v>49</v>
      </c>
      <c r="R3" s="8" t="s">
        <v>50</v>
      </c>
      <c r="S3" s="8">
        <v>14</v>
      </c>
      <c r="T3" s="8" t="s">
        <v>26</v>
      </c>
      <c r="U3" s="8" t="s">
        <v>27</v>
      </c>
      <c r="V3" s="8">
        <v>16</v>
      </c>
      <c r="W3" s="8" t="s">
        <v>38</v>
      </c>
      <c r="X3" s="8" t="s">
        <v>28</v>
      </c>
      <c r="Y3" s="8" t="s">
        <v>69</v>
      </c>
      <c r="Z3" s="8" t="s">
        <v>70</v>
      </c>
      <c r="AA3" s="8">
        <v>19</v>
      </c>
      <c r="AB3" s="8" t="s">
        <v>60</v>
      </c>
      <c r="AC3" s="8" t="s">
        <v>61</v>
      </c>
      <c r="AD3" s="8" t="s">
        <v>71</v>
      </c>
      <c r="AE3" s="8" t="s">
        <v>72</v>
      </c>
      <c r="AF3" s="8">
        <v>21</v>
      </c>
      <c r="AG3" s="8">
        <v>22</v>
      </c>
      <c r="AH3" s="24" t="s">
        <v>73</v>
      </c>
      <c r="AI3" s="24" t="s">
        <v>74</v>
      </c>
      <c r="AJ3" s="24">
        <v>24</v>
      </c>
      <c r="AK3" s="24" t="s">
        <v>29</v>
      </c>
      <c r="AL3" s="16" t="s">
        <v>10</v>
      </c>
      <c r="AM3" s="17" t="s">
        <v>9</v>
      </c>
      <c r="AN3" s="18" t="s">
        <v>8</v>
      </c>
    </row>
    <row r="4" spans="1:47" ht="69" customHeight="1">
      <c r="A4" s="76"/>
      <c r="B4" s="20" t="s">
        <v>18</v>
      </c>
      <c r="C4" s="10">
        <v>1</v>
      </c>
      <c r="D4" s="10">
        <v>2</v>
      </c>
      <c r="E4" s="10">
        <v>1</v>
      </c>
      <c r="F4" s="11">
        <v>1</v>
      </c>
      <c r="G4" s="11">
        <v>1</v>
      </c>
      <c r="H4" s="11">
        <v>1</v>
      </c>
      <c r="I4" s="11">
        <v>1</v>
      </c>
      <c r="J4" s="11">
        <v>1</v>
      </c>
      <c r="K4" s="10">
        <v>2</v>
      </c>
      <c r="L4" s="14">
        <v>1</v>
      </c>
      <c r="M4" s="11">
        <v>2</v>
      </c>
      <c r="N4" s="10">
        <v>1</v>
      </c>
      <c r="O4" s="11">
        <v>1</v>
      </c>
      <c r="P4" s="15">
        <v>1</v>
      </c>
      <c r="Q4" s="13">
        <v>1</v>
      </c>
      <c r="R4" s="13">
        <v>1</v>
      </c>
      <c r="S4" s="12">
        <v>1</v>
      </c>
      <c r="T4" s="15">
        <v>1</v>
      </c>
      <c r="U4" s="15">
        <v>1</v>
      </c>
      <c r="V4" s="12">
        <v>2</v>
      </c>
      <c r="W4" s="13">
        <v>1</v>
      </c>
      <c r="X4" s="15">
        <v>1</v>
      </c>
      <c r="Y4" s="12">
        <v>1</v>
      </c>
      <c r="Z4" s="12">
        <v>1</v>
      </c>
      <c r="AA4" s="15">
        <v>1</v>
      </c>
      <c r="AB4" s="12">
        <v>1</v>
      </c>
      <c r="AC4" s="12">
        <v>1</v>
      </c>
      <c r="AD4" s="25">
        <v>1</v>
      </c>
      <c r="AE4" s="25">
        <v>1</v>
      </c>
      <c r="AF4" s="26">
        <v>1</v>
      </c>
      <c r="AG4" s="25">
        <v>1</v>
      </c>
      <c r="AH4" s="26">
        <v>1</v>
      </c>
      <c r="AI4" s="31">
        <v>2</v>
      </c>
      <c r="AJ4" s="25">
        <v>2</v>
      </c>
      <c r="AK4" s="26">
        <f>SUM(C4:AJ4)</f>
        <v>40</v>
      </c>
      <c r="AL4" s="14">
        <f>AI4+AA4+X4+U4+T4+P4+L4</f>
        <v>8</v>
      </c>
      <c r="AM4" s="11">
        <f>AJ4+AG4+AE4+AD4+W4+R4+Q4+O4+M4+J4+I4+H4+G4+F4</f>
        <v>16</v>
      </c>
      <c r="AN4" s="10">
        <f>AH4+AF4+AC4+AB4+Z4+Y4+V4+S4+N4+K4+E4+D4+C4</f>
        <v>16</v>
      </c>
      <c r="AQ4" s="27" t="s">
        <v>39</v>
      </c>
      <c r="AR4" s="14" t="s">
        <v>40</v>
      </c>
      <c r="AS4" s="10" t="s">
        <v>41</v>
      </c>
      <c r="AT4" s="28" t="s">
        <v>42</v>
      </c>
      <c r="AU4" s="11" t="s">
        <v>43</v>
      </c>
    </row>
    <row r="5" spans="1:47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26">
        <f t="shared" ref="AK5:AK24" si="0">SUM(C5:AJ5)</f>
        <v>0</v>
      </c>
      <c r="AL5" s="14">
        <f t="shared" ref="AL5:AL24" si="1">AI5+AA5+X5+U5+T5+P5+L5</f>
        <v>0</v>
      </c>
      <c r="AM5" s="11">
        <f t="shared" ref="AM5:AM24" si="2">AJ5+AG5+AE5+AD5+W5+R5+Q5+O5+M5+J5+I5+H5+G5+F5</f>
        <v>0</v>
      </c>
      <c r="AN5" s="10">
        <f t="shared" ref="AN5:AN24" si="3">AH5+AF5+AC5+AB5+Z5+Y5+V5+S5+N5+K5+E5+D5+C5</f>
        <v>0</v>
      </c>
      <c r="AQ5" s="29" t="s">
        <v>44</v>
      </c>
      <c r="AR5" s="14" t="s">
        <v>45</v>
      </c>
      <c r="AS5" s="10" t="s">
        <v>46</v>
      </c>
      <c r="AT5" s="28" t="s">
        <v>47</v>
      </c>
      <c r="AU5" s="11" t="s">
        <v>48</v>
      </c>
    </row>
    <row r="6" spans="1:47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26">
        <f t="shared" si="0"/>
        <v>0</v>
      </c>
      <c r="AL6" s="14">
        <f t="shared" si="1"/>
        <v>0</v>
      </c>
      <c r="AM6" s="11">
        <f t="shared" si="2"/>
        <v>0</v>
      </c>
      <c r="AN6" s="10">
        <f t="shared" si="3"/>
        <v>0</v>
      </c>
      <c r="AQ6">
        <v>71</v>
      </c>
      <c r="AR6">
        <v>71</v>
      </c>
      <c r="AS6">
        <v>71</v>
      </c>
      <c r="AT6">
        <v>71</v>
      </c>
      <c r="AU6">
        <v>71</v>
      </c>
    </row>
    <row r="7" spans="1:47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26">
        <f t="shared" si="0"/>
        <v>0</v>
      </c>
      <c r="AL7" s="14">
        <f t="shared" si="1"/>
        <v>0</v>
      </c>
      <c r="AM7" s="11">
        <f t="shared" si="2"/>
        <v>0</v>
      </c>
      <c r="AN7" s="10">
        <f t="shared" si="3"/>
        <v>0</v>
      </c>
    </row>
    <row r="8" spans="1:47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26">
        <f t="shared" si="0"/>
        <v>0</v>
      </c>
      <c r="AL8" s="14">
        <f t="shared" si="1"/>
        <v>0</v>
      </c>
      <c r="AM8" s="11">
        <f t="shared" si="2"/>
        <v>0</v>
      </c>
      <c r="AN8" s="10">
        <f t="shared" si="3"/>
        <v>0</v>
      </c>
    </row>
    <row r="9" spans="1:47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26">
        <f t="shared" si="0"/>
        <v>0</v>
      </c>
      <c r="AL9" s="14">
        <f t="shared" si="1"/>
        <v>0</v>
      </c>
      <c r="AM9" s="11">
        <f t="shared" si="2"/>
        <v>0</v>
      </c>
      <c r="AN9" s="10">
        <f t="shared" si="3"/>
        <v>0</v>
      </c>
    </row>
    <row r="10" spans="1:47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26">
        <f t="shared" si="0"/>
        <v>0</v>
      </c>
      <c r="AL10" s="14">
        <f t="shared" si="1"/>
        <v>0</v>
      </c>
      <c r="AM10" s="11">
        <f t="shared" si="2"/>
        <v>0</v>
      </c>
      <c r="AN10" s="10">
        <f t="shared" si="3"/>
        <v>0</v>
      </c>
    </row>
    <row r="11" spans="1:47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26">
        <f t="shared" si="0"/>
        <v>0</v>
      </c>
      <c r="AL11" s="14">
        <f t="shared" si="1"/>
        <v>0</v>
      </c>
      <c r="AM11" s="11">
        <f t="shared" si="2"/>
        <v>0</v>
      </c>
      <c r="AN11" s="10">
        <f t="shared" si="3"/>
        <v>0</v>
      </c>
    </row>
    <row r="12" spans="1:47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26">
        <f t="shared" si="0"/>
        <v>0</v>
      </c>
      <c r="AL12" s="14">
        <f t="shared" si="1"/>
        <v>0</v>
      </c>
      <c r="AM12" s="11">
        <f t="shared" si="2"/>
        <v>0</v>
      </c>
      <c r="AN12" s="10">
        <f t="shared" si="3"/>
        <v>0</v>
      </c>
    </row>
    <row r="13" spans="1:47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26">
        <f t="shared" si="0"/>
        <v>0</v>
      </c>
      <c r="AL13" s="14">
        <f t="shared" si="1"/>
        <v>0</v>
      </c>
      <c r="AM13" s="11">
        <f t="shared" si="2"/>
        <v>0</v>
      </c>
      <c r="AN13" s="10">
        <f t="shared" si="3"/>
        <v>0</v>
      </c>
    </row>
    <row r="14" spans="1:47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26">
        <f t="shared" si="0"/>
        <v>0</v>
      </c>
      <c r="AL14" s="14">
        <f t="shared" si="1"/>
        <v>0</v>
      </c>
      <c r="AM14" s="11">
        <f t="shared" si="2"/>
        <v>0</v>
      </c>
      <c r="AN14" s="10">
        <f t="shared" si="3"/>
        <v>0</v>
      </c>
    </row>
    <row r="15" spans="1:47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26">
        <f t="shared" si="0"/>
        <v>0</v>
      </c>
      <c r="AL15" s="14">
        <f t="shared" si="1"/>
        <v>0</v>
      </c>
      <c r="AM15" s="11">
        <f t="shared" si="2"/>
        <v>0</v>
      </c>
      <c r="AN15" s="10">
        <f t="shared" si="3"/>
        <v>0</v>
      </c>
    </row>
    <row r="16" spans="1:47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26">
        <f t="shared" si="0"/>
        <v>0</v>
      </c>
      <c r="AL16" s="14">
        <f t="shared" si="1"/>
        <v>0</v>
      </c>
      <c r="AM16" s="11">
        <f t="shared" si="2"/>
        <v>0</v>
      </c>
      <c r="AN16" s="10">
        <f t="shared" si="3"/>
        <v>0</v>
      </c>
    </row>
    <row r="17" spans="1:40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26">
        <f t="shared" si="0"/>
        <v>0</v>
      </c>
      <c r="AL17" s="14">
        <f t="shared" si="1"/>
        <v>0</v>
      </c>
      <c r="AM17" s="11">
        <f t="shared" si="2"/>
        <v>0</v>
      </c>
      <c r="AN17" s="10">
        <f t="shared" si="3"/>
        <v>0</v>
      </c>
    </row>
    <row r="18" spans="1:40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26">
        <f t="shared" si="0"/>
        <v>0</v>
      </c>
      <c r="AL18" s="14">
        <f t="shared" si="1"/>
        <v>0</v>
      </c>
      <c r="AM18" s="11">
        <f t="shared" si="2"/>
        <v>0</v>
      </c>
      <c r="AN18" s="10">
        <f t="shared" si="3"/>
        <v>0</v>
      </c>
    </row>
    <row r="19" spans="1:40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26">
        <f t="shared" si="0"/>
        <v>0</v>
      </c>
      <c r="AL19" s="14">
        <f t="shared" si="1"/>
        <v>0</v>
      </c>
      <c r="AM19" s="11">
        <f t="shared" si="2"/>
        <v>0</v>
      </c>
      <c r="AN19" s="10">
        <f t="shared" si="3"/>
        <v>0</v>
      </c>
    </row>
    <row r="20" spans="1:40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26">
        <f t="shared" si="0"/>
        <v>0</v>
      </c>
      <c r="AL20" s="14">
        <f t="shared" si="1"/>
        <v>0</v>
      </c>
      <c r="AM20" s="11">
        <f t="shared" si="2"/>
        <v>0</v>
      </c>
      <c r="AN20" s="10">
        <f t="shared" si="3"/>
        <v>0</v>
      </c>
    </row>
    <row r="21" spans="1:40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26">
        <f t="shared" si="0"/>
        <v>0</v>
      </c>
      <c r="AL21" s="14">
        <f t="shared" si="1"/>
        <v>0</v>
      </c>
      <c r="AM21" s="11">
        <f t="shared" si="2"/>
        <v>0</v>
      </c>
      <c r="AN21" s="10">
        <f t="shared" si="3"/>
        <v>0</v>
      </c>
    </row>
    <row r="22" spans="1:40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26">
        <f t="shared" si="0"/>
        <v>0</v>
      </c>
      <c r="AL22" s="14">
        <f t="shared" si="1"/>
        <v>0</v>
      </c>
      <c r="AM22" s="11">
        <f t="shared" si="2"/>
        <v>0</v>
      </c>
      <c r="AN22" s="10">
        <f t="shared" si="3"/>
        <v>0</v>
      </c>
    </row>
    <row r="23" spans="1:40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26">
        <f t="shared" si="0"/>
        <v>0</v>
      </c>
      <c r="AL23" s="14">
        <f t="shared" si="1"/>
        <v>0</v>
      </c>
      <c r="AM23" s="11">
        <f t="shared" si="2"/>
        <v>0</v>
      </c>
      <c r="AN23" s="10">
        <f t="shared" si="3"/>
        <v>0</v>
      </c>
    </row>
    <row r="24" spans="1:40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26">
        <f t="shared" si="0"/>
        <v>0</v>
      </c>
      <c r="AL24" s="14">
        <f t="shared" si="1"/>
        <v>0</v>
      </c>
      <c r="AM24" s="11">
        <f t="shared" si="2"/>
        <v>0</v>
      </c>
      <c r="AN24" s="10">
        <f t="shared" si="3"/>
        <v>0</v>
      </c>
    </row>
    <row r="25" spans="1:40" ht="28.5" thickBot="1">
      <c r="A25" s="77" t="s">
        <v>19</v>
      </c>
      <c r="B25" s="78"/>
      <c r="C25" s="4" t="e">
        <f>AVERAGE(C5:C24)</f>
        <v>#DIV/0!</v>
      </c>
      <c r="D25" s="4" t="e">
        <f t="shared" ref="D25:AJ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/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 t="e">
        <f t="shared" si="4"/>
        <v>#DIV/0!</v>
      </c>
      <c r="AK25" s="3"/>
      <c r="AL25" s="19">
        <f>SUM(AL5:AL24)</f>
        <v>0</v>
      </c>
      <c r="AM25" s="19">
        <f>SUM(AM5:AM24)</f>
        <v>0</v>
      </c>
      <c r="AN25" s="19">
        <f>SUM(AN5:AN24)</f>
        <v>0</v>
      </c>
    </row>
    <row r="26" spans="1:40" ht="51.75" customHeight="1" thickTop="1" thickBot="1">
      <c r="A26" s="22"/>
      <c r="B26" s="23" t="s">
        <v>34</v>
      </c>
      <c r="C26" s="30" t="e">
        <f t="shared" ref="C26:AJ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/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"/>
      <c r="AL26" s="19"/>
      <c r="AM26" s="19"/>
      <c r="AN26" s="19"/>
    </row>
    <row r="27" spans="1:40" ht="29.25" thickTop="1" thickBot="1">
      <c r="A27" s="79" t="s">
        <v>4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/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</row>
    <row r="28" spans="1:40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J24">
    <cfRule type="cellIs" dxfId="66" priority="8" operator="between">
      <formula>1</formula>
      <formula>5</formula>
    </cfRule>
    <cfRule type="cellIs" dxfId="65" priority="9" operator="lessThan">
      <formula>1</formula>
    </cfRule>
    <cfRule type="containsText" dxfId="64" priority="10" operator="containsText" text="0">
      <formula>NOT(ISERROR(SEARCH("0",C5)))</formula>
    </cfRule>
    <cfRule type="containsText" dxfId="63" priority="11" operator="containsText" text="0">
      <formula>NOT(ISERROR(SEARCH("0",C5)))</formula>
    </cfRule>
    <cfRule type="containsText" dxfId="62" priority="12" operator="containsText" text="1">
      <formula>NOT(ISERROR(SEARCH("1",C5)))</formula>
    </cfRule>
    <cfRule type="containsText" dxfId="61" priority="13" operator="containsText" text="0">
      <formula>NOT(ISERROR(SEARCH("0",C5)))</formula>
    </cfRule>
  </conditionalFormatting>
  <conditionalFormatting sqref="C26:AJ26">
    <cfRule type="cellIs" dxfId="60" priority="1" operator="between">
      <formula>40</formula>
      <formula>50</formula>
    </cfRule>
    <cfRule type="cellIs" dxfId="59" priority="3" operator="greaterThan">
      <formula>70</formula>
    </cfRule>
    <cfRule type="cellIs" dxfId="58" priority="4" operator="between">
      <formula>60</formula>
      <formula>70</formula>
    </cfRule>
    <cfRule type="cellIs" dxfId="57" priority="5" operator="lessThan">
      <formula>40</formula>
    </cfRule>
    <cfRule type="cellIs" dxfId="56" priority="6" operator="between">
      <formula>50</formula>
      <formula>60</formula>
    </cfRule>
  </conditionalFormatting>
  <conditionalFormatting sqref="C27:AJ27">
    <cfRule type="cellIs" dxfId="55" priority="7" operator="between">
      <formula>70</formula>
      <formula>100</formula>
    </cfRule>
  </conditionalFormatting>
  <conditionalFormatting sqref="AR6:AU6">
    <cfRule type="expression" dxfId="54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W58"/>
  <sheetViews>
    <sheetView rightToLeft="1" zoomScale="60" zoomScaleNormal="60" workbookViewId="0">
      <pane ySplit="4" topLeftCell="A5" activePane="bottomLeft" state="frozen"/>
      <selection activeCell="D1" sqref="D1"/>
      <selection pane="bottomLeft" activeCell="R23" sqref="R23:R24"/>
    </sheetView>
  </sheetViews>
  <sheetFormatPr defaultRowHeight="14.25"/>
  <cols>
    <col min="1" max="1" width="4" style="2" customWidth="1"/>
    <col min="2" max="2" width="65.25" style="2" customWidth="1"/>
    <col min="3" max="3" width="11.125" style="2" bestFit="1" customWidth="1"/>
    <col min="4" max="4" width="24.75" bestFit="1" customWidth="1"/>
    <col min="5" max="5" width="18.75" bestFit="1" customWidth="1"/>
    <col min="6" max="6" width="11.125" bestFit="1" customWidth="1"/>
    <col min="7" max="7" width="15.625" bestFit="1" customWidth="1"/>
    <col min="8" max="8" width="15.125" bestFit="1" customWidth="1"/>
    <col min="9" max="9" width="11.125" bestFit="1" customWidth="1"/>
    <col min="10" max="10" width="15.125" bestFit="1" customWidth="1"/>
    <col min="11" max="12" width="18.75" bestFit="1" customWidth="1"/>
    <col min="13" max="17" width="15.125" bestFit="1" customWidth="1"/>
    <col min="18" max="18" width="11.125" bestFit="1" customWidth="1"/>
    <col min="19" max="34" width="15.125" bestFit="1" customWidth="1"/>
    <col min="35" max="35" width="18.75" bestFit="1" customWidth="1"/>
    <col min="36" max="38" width="11.125" bestFit="1" customWidth="1"/>
    <col min="39" max="39" width="24.75" bestFit="1" customWidth="1"/>
    <col min="40" max="40" width="14.625" customWidth="1"/>
    <col min="41" max="41" width="20.125" customWidth="1"/>
    <col min="42" max="42" width="16.25" customWidth="1"/>
    <col min="43" max="43" width="9.125" customWidth="1"/>
    <col min="44" max="44" width="0.25" customWidth="1"/>
    <col min="45" max="45" width="16.75" customWidth="1"/>
    <col min="46" max="46" width="16" customWidth="1"/>
    <col min="47" max="47" width="15.25" customWidth="1"/>
    <col min="48" max="48" width="15.625" customWidth="1"/>
    <col min="49" max="49" width="16" customWidth="1"/>
  </cols>
  <sheetData>
    <row r="3" spans="1:49" ht="50.25" customHeight="1">
      <c r="A3" s="75" t="s">
        <v>2</v>
      </c>
      <c r="B3" s="21" t="s">
        <v>17</v>
      </c>
      <c r="C3" s="21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>
        <v>6</v>
      </c>
      <c r="K3" s="8">
        <v>7</v>
      </c>
      <c r="L3" s="8">
        <v>8</v>
      </c>
      <c r="M3" s="8">
        <v>9</v>
      </c>
      <c r="N3" s="8">
        <v>10</v>
      </c>
      <c r="O3" s="8">
        <v>11</v>
      </c>
      <c r="P3" s="8">
        <v>12</v>
      </c>
      <c r="Q3" s="8">
        <v>13</v>
      </c>
      <c r="R3" s="8" t="s">
        <v>79</v>
      </c>
      <c r="S3" s="8" t="s">
        <v>80</v>
      </c>
      <c r="T3" s="8" t="s">
        <v>26</v>
      </c>
      <c r="U3" s="8" t="s">
        <v>27</v>
      </c>
      <c r="V3" s="8" t="s">
        <v>30</v>
      </c>
      <c r="W3" s="8" t="s">
        <v>31</v>
      </c>
      <c r="X3" s="8" t="s">
        <v>38</v>
      </c>
      <c r="Y3" s="8" t="s">
        <v>28</v>
      </c>
      <c r="Z3" s="8" t="s">
        <v>69</v>
      </c>
      <c r="AA3" s="8" t="s">
        <v>70</v>
      </c>
      <c r="AB3" s="8">
        <v>19</v>
      </c>
      <c r="AC3" s="8">
        <v>20</v>
      </c>
      <c r="AD3" s="8" t="s">
        <v>32</v>
      </c>
      <c r="AE3" s="8" t="s">
        <v>33</v>
      </c>
      <c r="AF3" s="8" t="s">
        <v>35</v>
      </c>
      <c r="AG3" s="8" t="s">
        <v>100</v>
      </c>
      <c r="AH3" s="8">
        <v>22</v>
      </c>
      <c r="AI3" s="8">
        <v>23</v>
      </c>
      <c r="AJ3" s="8">
        <v>24</v>
      </c>
      <c r="AK3" s="8" t="s">
        <v>101</v>
      </c>
      <c r="AL3" s="8" t="s">
        <v>102</v>
      </c>
      <c r="AM3" s="8" t="s">
        <v>29</v>
      </c>
      <c r="AN3" s="16" t="s">
        <v>10</v>
      </c>
      <c r="AO3" s="17" t="s">
        <v>9</v>
      </c>
      <c r="AP3" s="18" t="s">
        <v>8</v>
      </c>
    </row>
    <row r="4" spans="1:49" ht="69" customHeight="1">
      <c r="A4" s="76"/>
      <c r="B4" s="20" t="s">
        <v>18</v>
      </c>
      <c r="C4" s="10">
        <v>1</v>
      </c>
      <c r="D4" s="10">
        <v>2</v>
      </c>
      <c r="E4" s="10">
        <v>1</v>
      </c>
      <c r="F4" s="14">
        <v>1</v>
      </c>
      <c r="G4" s="11">
        <v>1</v>
      </c>
      <c r="H4" s="11">
        <v>1</v>
      </c>
      <c r="I4" s="11">
        <v>1</v>
      </c>
      <c r="J4" s="11">
        <v>1</v>
      </c>
      <c r="K4" s="10">
        <v>2</v>
      </c>
      <c r="L4" s="11">
        <v>2</v>
      </c>
      <c r="M4" s="10">
        <v>1</v>
      </c>
      <c r="N4" s="11">
        <v>1</v>
      </c>
      <c r="O4" s="14">
        <v>1</v>
      </c>
      <c r="P4" s="15">
        <v>1</v>
      </c>
      <c r="Q4" s="13">
        <v>1</v>
      </c>
      <c r="R4" s="12">
        <v>1</v>
      </c>
      <c r="S4" s="12">
        <v>1</v>
      </c>
      <c r="T4" s="15">
        <v>1</v>
      </c>
      <c r="U4" s="12">
        <v>1</v>
      </c>
      <c r="V4" s="13">
        <v>1</v>
      </c>
      <c r="W4" s="15">
        <v>1</v>
      </c>
      <c r="X4" s="13">
        <v>1</v>
      </c>
      <c r="Y4" s="13">
        <v>1</v>
      </c>
      <c r="Z4" s="12">
        <v>1</v>
      </c>
      <c r="AA4" s="12">
        <v>1</v>
      </c>
      <c r="AB4" s="15">
        <v>1</v>
      </c>
      <c r="AC4" s="25">
        <v>1</v>
      </c>
      <c r="AD4" s="26">
        <v>1</v>
      </c>
      <c r="AE4" s="25">
        <v>1</v>
      </c>
      <c r="AF4" s="26">
        <v>1</v>
      </c>
      <c r="AG4" s="25">
        <v>1</v>
      </c>
      <c r="AH4" s="26">
        <v>1</v>
      </c>
      <c r="AI4" s="26">
        <v>1</v>
      </c>
      <c r="AJ4" s="25">
        <v>2</v>
      </c>
      <c r="AK4" s="31">
        <v>1</v>
      </c>
      <c r="AL4" s="31">
        <v>1</v>
      </c>
      <c r="AM4" s="26">
        <f>SUM(C4:AL4)</f>
        <v>40</v>
      </c>
      <c r="AN4" s="14">
        <f>AL4+AK4+AB4+W4+T4+P4+O4+F4</f>
        <v>8</v>
      </c>
      <c r="AO4" s="11">
        <f>AJ4+AG4+AE4+AC4+Y4+X4+V4+Q4+N4+L4+J4+I4+H4+G4</f>
        <v>16</v>
      </c>
      <c r="AP4" s="10">
        <f>AI4+AH4+AF4+AD4+AA4+Z4+U4+S4+R4+M4+K4+E4+D4+C4</f>
        <v>16</v>
      </c>
      <c r="AS4" s="27" t="s">
        <v>39</v>
      </c>
      <c r="AT4" s="14" t="s">
        <v>40</v>
      </c>
      <c r="AU4" s="10" t="s">
        <v>41</v>
      </c>
      <c r="AV4" s="28" t="s">
        <v>42</v>
      </c>
      <c r="AW4" s="11" t="s">
        <v>43</v>
      </c>
    </row>
    <row r="5" spans="1:49" ht="27.75">
      <c r="A5" s="5">
        <v>1</v>
      </c>
      <c r="B5" s="6"/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26">
        <f t="shared" ref="AM5:AM24" si="0">SUM(D5:AJ5)</f>
        <v>0</v>
      </c>
      <c r="AN5" s="14">
        <f t="shared" ref="AN5:AN24" si="1">AJ5+AD5+X5+Q5+N5+G5+E5</f>
        <v>0</v>
      </c>
      <c r="AO5" s="11">
        <f t="shared" ref="AO5:AO24" si="2">AI5+AH5+AC5+AB5+Z5+Y5+V5+S5+P5+O5+K5+J5+H5</f>
        <v>0</v>
      </c>
      <c r="AP5" s="10">
        <f t="shared" ref="AP5:AP24" si="3">AG5+AF5+AE5+AA5+W5+U5+T5+R5+M5+L5+D5</f>
        <v>0</v>
      </c>
      <c r="AS5" s="29" t="s">
        <v>44</v>
      </c>
      <c r="AT5" s="14" t="s">
        <v>45</v>
      </c>
      <c r="AU5" s="10" t="s">
        <v>46</v>
      </c>
      <c r="AV5" s="28" t="s">
        <v>47</v>
      </c>
      <c r="AW5" s="11" t="s">
        <v>48</v>
      </c>
    </row>
    <row r="6" spans="1:49" ht="27.75">
      <c r="A6" s="5">
        <v>2</v>
      </c>
      <c r="B6" s="6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26">
        <f t="shared" si="0"/>
        <v>0</v>
      </c>
      <c r="AN6" s="14">
        <f t="shared" si="1"/>
        <v>0</v>
      </c>
      <c r="AO6" s="11">
        <f t="shared" si="2"/>
        <v>0</v>
      </c>
      <c r="AP6" s="10">
        <f t="shared" si="3"/>
        <v>0</v>
      </c>
      <c r="AS6">
        <v>71</v>
      </c>
      <c r="AT6">
        <v>71</v>
      </c>
      <c r="AU6">
        <v>71</v>
      </c>
      <c r="AV6">
        <v>71</v>
      </c>
      <c r="AW6">
        <v>71</v>
      </c>
    </row>
    <row r="7" spans="1:49" ht="27.75">
      <c r="A7" s="5">
        <v>3</v>
      </c>
      <c r="B7" s="6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26">
        <f t="shared" si="0"/>
        <v>0</v>
      </c>
      <c r="AN7" s="14">
        <f t="shared" si="1"/>
        <v>0</v>
      </c>
      <c r="AO7" s="11">
        <f t="shared" si="2"/>
        <v>0</v>
      </c>
      <c r="AP7" s="10">
        <f t="shared" si="3"/>
        <v>0</v>
      </c>
    </row>
    <row r="8" spans="1:49" ht="27.75">
      <c r="A8" s="5">
        <v>4</v>
      </c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26">
        <f t="shared" si="0"/>
        <v>0</v>
      </c>
      <c r="AN8" s="14">
        <f t="shared" si="1"/>
        <v>0</v>
      </c>
      <c r="AO8" s="11">
        <f t="shared" si="2"/>
        <v>0</v>
      </c>
      <c r="AP8" s="10">
        <f t="shared" si="3"/>
        <v>0</v>
      </c>
    </row>
    <row r="9" spans="1:49" ht="27.75">
      <c r="A9" s="5">
        <v>5</v>
      </c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26">
        <f t="shared" si="0"/>
        <v>0</v>
      </c>
      <c r="AN9" s="14">
        <f t="shared" si="1"/>
        <v>0</v>
      </c>
      <c r="AO9" s="11">
        <f t="shared" si="2"/>
        <v>0</v>
      </c>
      <c r="AP9" s="10">
        <f t="shared" si="3"/>
        <v>0</v>
      </c>
    </row>
    <row r="10" spans="1:49" ht="27.75">
      <c r="A10" s="5">
        <v>6</v>
      </c>
      <c r="B10" s="6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26">
        <f t="shared" si="0"/>
        <v>0</v>
      </c>
      <c r="AN10" s="14">
        <f t="shared" si="1"/>
        <v>0</v>
      </c>
      <c r="AO10" s="11">
        <f t="shared" si="2"/>
        <v>0</v>
      </c>
      <c r="AP10" s="10">
        <f t="shared" si="3"/>
        <v>0</v>
      </c>
    </row>
    <row r="11" spans="1:49" ht="27.75">
      <c r="A11" s="5">
        <v>7</v>
      </c>
      <c r="B11" s="6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26">
        <f t="shared" si="0"/>
        <v>0</v>
      </c>
      <c r="AN11" s="14">
        <f t="shared" si="1"/>
        <v>0</v>
      </c>
      <c r="AO11" s="11">
        <f t="shared" si="2"/>
        <v>0</v>
      </c>
      <c r="AP11" s="10">
        <f t="shared" si="3"/>
        <v>0</v>
      </c>
    </row>
    <row r="12" spans="1:49" ht="27.75">
      <c r="A12" s="5">
        <v>8</v>
      </c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26">
        <f t="shared" si="0"/>
        <v>0</v>
      </c>
      <c r="AN12" s="14">
        <f t="shared" si="1"/>
        <v>0</v>
      </c>
      <c r="AO12" s="11">
        <f t="shared" si="2"/>
        <v>0</v>
      </c>
      <c r="AP12" s="10">
        <f t="shared" si="3"/>
        <v>0</v>
      </c>
    </row>
    <row r="13" spans="1:49" ht="27.75">
      <c r="A13" s="5">
        <v>9</v>
      </c>
      <c r="B13" s="6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26">
        <f t="shared" si="0"/>
        <v>0</v>
      </c>
      <c r="AN13" s="14">
        <f t="shared" si="1"/>
        <v>0</v>
      </c>
      <c r="AO13" s="11">
        <f t="shared" si="2"/>
        <v>0</v>
      </c>
      <c r="AP13" s="10">
        <f t="shared" si="3"/>
        <v>0</v>
      </c>
    </row>
    <row r="14" spans="1:49" ht="27.75">
      <c r="A14" s="5">
        <v>10</v>
      </c>
      <c r="B14" s="6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26">
        <f t="shared" si="0"/>
        <v>0</v>
      </c>
      <c r="AN14" s="14">
        <f t="shared" si="1"/>
        <v>0</v>
      </c>
      <c r="AO14" s="11">
        <f t="shared" si="2"/>
        <v>0</v>
      </c>
      <c r="AP14" s="10">
        <f t="shared" si="3"/>
        <v>0</v>
      </c>
    </row>
    <row r="15" spans="1:49" ht="27.75">
      <c r="A15" s="5">
        <v>11</v>
      </c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26">
        <f t="shared" si="0"/>
        <v>0</v>
      </c>
      <c r="AN15" s="14">
        <f t="shared" si="1"/>
        <v>0</v>
      </c>
      <c r="AO15" s="11">
        <f t="shared" si="2"/>
        <v>0</v>
      </c>
      <c r="AP15" s="10">
        <f t="shared" si="3"/>
        <v>0</v>
      </c>
    </row>
    <row r="16" spans="1:49" ht="27.75">
      <c r="A16" s="5">
        <v>12</v>
      </c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26">
        <f t="shared" si="0"/>
        <v>0</v>
      </c>
      <c r="AN16" s="14">
        <f t="shared" si="1"/>
        <v>0</v>
      </c>
      <c r="AO16" s="11">
        <f t="shared" si="2"/>
        <v>0</v>
      </c>
      <c r="AP16" s="10">
        <f t="shared" si="3"/>
        <v>0</v>
      </c>
    </row>
    <row r="17" spans="1:42" ht="27.75">
      <c r="A17" s="5">
        <v>13</v>
      </c>
      <c r="B17" s="6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26">
        <f t="shared" si="0"/>
        <v>0</v>
      </c>
      <c r="AN17" s="14">
        <f t="shared" si="1"/>
        <v>0</v>
      </c>
      <c r="AO17" s="11">
        <f t="shared" si="2"/>
        <v>0</v>
      </c>
      <c r="AP17" s="10">
        <f t="shared" si="3"/>
        <v>0</v>
      </c>
    </row>
    <row r="18" spans="1:42" ht="27.75">
      <c r="A18" s="5">
        <v>14</v>
      </c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26">
        <f t="shared" si="0"/>
        <v>0</v>
      </c>
      <c r="AN18" s="14">
        <f t="shared" si="1"/>
        <v>0</v>
      </c>
      <c r="AO18" s="11">
        <f t="shared" si="2"/>
        <v>0</v>
      </c>
      <c r="AP18" s="10">
        <f t="shared" si="3"/>
        <v>0</v>
      </c>
    </row>
    <row r="19" spans="1:42" ht="27.75">
      <c r="A19" s="5">
        <v>15</v>
      </c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26">
        <f t="shared" si="0"/>
        <v>0</v>
      </c>
      <c r="AN19" s="14">
        <f t="shared" si="1"/>
        <v>0</v>
      </c>
      <c r="AO19" s="11">
        <f t="shared" si="2"/>
        <v>0</v>
      </c>
      <c r="AP19" s="10">
        <f t="shared" si="3"/>
        <v>0</v>
      </c>
    </row>
    <row r="20" spans="1:42" ht="27.75">
      <c r="A20" s="5">
        <v>16</v>
      </c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26">
        <f t="shared" si="0"/>
        <v>0</v>
      </c>
      <c r="AN20" s="14">
        <f t="shared" si="1"/>
        <v>0</v>
      </c>
      <c r="AO20" s="11">
        <f t="shared" si="2"/>
        <v>0</v>
      </c>
      <c r="AP20" s="10">
        <f t="shared" si="3"/>
        <v>0</v>
      </c>
    </row>
    <row r="21" spans="1:42" ht="27.75">
      <c r="A21" s="5">
        <v>17</v>
      </c>
      <c r="B21" s="6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26">
        <f t="shared" si="0"/>
        <v>0</v>
      </c>
      <c r="AN21" s="14">
        <f t="shared" si="1"/>
        <v>0</v>
      </c>
      <c r="AO21" s="11">
        <f t="shared" si="2"/>
        <v>0</v>
      </c>
      <c r="AP21" s="10">
        <f t="shared" si="3"/>
        <v>0</v>
      </c>
    </row>
    <row r="22" spans="1:42" ht="27.75">
      <c r="A22" s="5">
        <v>18</v>
      </c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26">
        <f t="shared" si="0"/>
        <v>0</v>
      </c>
      <c r="AN22" s="14">
        <f t="shared" si="1"/>
        <v>0</v>
      </c>
      <c r="AO22" s="11">
        <f t="shared" si="2"/>
        <v>0</v>
      </c>
      <c r="AP22" s="10">
        <f t="shared" si="3"/>
        <v>0</v>
      </c>
    </row>
    <row r="23" spans="1:42" ht="27.75">
      <c r="A23" s="5">
        <v>19</v>
      </c>
      <c r="B23" s="6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26">
        <f t="shared" si="0"/>
        <v>0</v>
      </c>
      <c r="AN23" s="14">
        <f t="shared" si="1"/>
        <v>0</v>
      </c>
      <c r="AO23" s="11">
        <f t="shared" si="2"/>
        <v>0</v>
      </c>
      <c r="AP23" s="10">
        <f t="shared" si="3"/>
        <v>0</v>
      </c>
    </row>
    <row r="24" spans="1:42" ht="27.75">
      <c r="A24" s="5">
        <v>20</v>
      </c>
      <c r="B24" s="6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26">
        <f t="shared" si="0"/>
        <v>0</v>
      </c>
      <c r="AN24" s="14">
        <f t="shared" si="1"/>
        <v>0</v>
      </c>
      <c r="AO24" s="11">
        <f t="shared" si="2"/>
        <v>0</v>
      </c>
      <c r="AP24" s="10">
        <f t="shared" si="3"/>
        <v>0</v>
      </c>
    </row>
    <row r="25" spans="1:42" ht="28.5" thickBot="1">
      <c r="A25" s="77" t="s">
        <v>19</v>
      </c>
      <c r="B25" s="78"/>
      <c r="C25" s="4" t="e">
        <f t="shared" ref="C25:AM25" si="4">AVERAGE(C5:C24)</f>
        <v>#DIV/0!</v>
      </c>
      <c r="D25" s="4" t="e">
        <f t="shared" si="4"/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 t="e">
        <f t="shared" si="4"/>
        <v>#DIV/0!</v>
      </c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 t="e">
        <f t="shared" si="4"/>
        <v>#DIV/0!</v>
      </c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4" t="e">
        <f t="shared" si="4"/>
        <v>#DIV/0!</v>
      </c>
      <c r="AK25" s="4" t="e">
        <f t="shared" si="4"/>
        <v>#DIV/0!</v>
      </c>
      <c r="AL25" s="4" t="e">
        <f t="shared" si="4"/>
        <v>#DIV/0!</v>
      </c>
      <c r="AM25" s="4">
        <f t="shared" si="4"/>
        <v>0</v>
      </c>
      <c r="AN25" s="19">
        <f>SUM(AN5:AN24)</f>
        <v>0</v>
      </c>
      <c r="AO25" s="19">
        <f>SUM(AO5:AO24)</f>
        <v>0</v>
      </c>
      <c r="AP25" s="19">
        <f>SUM(AP5:AP24)</f>
        <v>0</v>
      </c>
    </row>
    <row r="26" spans="1:42" ht="51.75" customHeight="1" thickTop="1" thickBot="1">
      <c r="A26" s="22"/>
      <c r="B26" s="23" t="s">
        <v>34</v>
      </c>
      <c r="C26" s="30" t="e">
        <f t="shared" ref="C26:AM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 t="e">
        <f t="shared" si="5"/>
        <v>#DIV/0!</v>
      </c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 t="e">
        <f t="shared" si="5"/>
        <v>#DIV/0!</v>
      </c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0" t="e">
        <f t="shared" si="5"/>
        <v>#DIV/0!</v>
      </c>
      <c r="AL26" s="30" t="e">
        <f t="shared" si="5"/>
        <v>#DIV/0!</v>
      </c>
      <c r="AM26" s="30">
        <f t="shared" si="5"/>
        <v>0</v>
      </c>
      <c r="AN26" s="19"/>
      <c r="AO26" s="19"/>
      <c r="AP26" s="19"/>
    </row>
    <row r="27" spans="1:42" ht="29.25" thickTop="1" thickBot="1">
      <c r="A27" s="79" t="s">
        <v>4</v>
      </c>
      <c r="B27" s="80"/>
      <c r="C27" s="30" t="e">
        <f t="shared" ref="C27:AM27" si="6"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si="6"/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e">
        <f t="shared" si="6"/>
        <v>#DIV/0!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e">
        <f t="shared" si="6"/>
        <v>#DIV/0!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  <c r="AK27" s="30" t="e">
        <f t="shared" si="6"/>
        <v>#DIV/0!</v>
      </c>
      <c r="AL27" s="30" t="e">
        <f t="shared" si="6"/>
        <v>#DIV/0!</v>
      </c>
      <c r="AM27" s="30" t="str">
        <f t="shared" si="6"/>
        <v xml:space="preserve"> يحتاج الى تدخل سريع</v>
      </c>
    </row>
    <row r="28" spans="1:42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26:AM26">
    <cfRule type="cellIs" dxfId="53" priority="1" operator="between">
      <formula>40</formula>
      <formula>50</formula>
    </cfRule>
    <cfRule type="cellIs" dxfId="52" priority="3" operator="greaterThan">
      <formula>70</formula>
    </cfRule>
    <cfRule type="cellIs" dxfId="51" priority="4" operator="between">
      <formula>60</formula>
      <formula>70</formula>
    </cfRule>
    <cfRule type="cellIs" dxfId="50" priority="5" operator="lessThan">
      <formula>40</formula>
    </cfRule>
    <cfRule type="cellIs" dxfId="49" priority="6" operator="between">
      <formula>50</formula>
      <formula>60</formula>
    </cfRule>
  </conditionalFormatting>
  <conditionalFormatting sqref="C27:AM27">
    <cfRule type="cellIs" dxfId="48" priority="7" operator="between">
      <formula>70</formula>
      <formula>100</formula>
    </cfRule>
  </conditionalFormatting>
  <conditionalFormatting sqref="D5:AL24">
    <cfRule type="cellIs" dxfId="47" priority="8" operator="between">
      <formula>1</formula>
      <formula>5</formula>
    </cfRule>
    <cfRule type="cellIs" dxfId="46" priority="9" operator="lessThan">
      <formula>1</formula>
    </cfRule>
    <cfRule type="containsText" dxfId="45" priority="10" operator="containsText" text="0">
      <formula>NOT(ISERROR(SEARCH("0",D5)))</formula>
    </cfRule>
    <cfRule type="containsText" dxfId="44" priority="11" operator="containsText" text="0">
      <formula>NOT(ISERROR(SEARCH("0",D5)))</formula>
    </cfRule>
    <cfRule type="containsText" dxfId="43" priority="12" operator="containsText" text="1">
      <formula>NOT(ISERROR(SEARCH("1",D5)))</formula>
    </cfRule>
    <cfRule type="containsText" dxfId="42" priority="13" operator="containsText" text="0">
      <formula>NOT(ISERROR(SEARCH("0",D5)))</formula>
    </cfRule>
  </conditionalFormatting>
  <conditionalFormatting sqref="AT6:AW6">
    <cfRule type="expression" dxfId="41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3:AT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C5" sqref="C5:AH22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7" width="10.25" bestFit="1" customWidth="1"/>
    <col min="8" max="8" width="10.25" customWidth="1"/>
    <col min="9" max="11" width="10.25" bestFit="1" customWidth="1"/>
    <col min="12" max="13" width="10.25" customWidth="1"/>
    <col min="14" max="34" width="10.25" bestFit="1" customWidth="1"/>
    <col min="35" max="35" width="10.25" customWidth="1"/>
    <col min="36" max="36" width="13" customWidth="1"/>
    <col min="37" max="37" width="14.625" customWidth="1"/>
    <col min="38" max="38" width="20.125" customWidth="1"/>
    <col min="39" max="39" width="16.25" customWidth="1"/>
    <col min="40" max="40" width="9.125" customWidth="1"/>
    <col min="41" max="41" width="0.25" customWidth="1"/>
    <col min="42" max="42" width="16.75" customWidth="1"/>
    <col min="43" max="43" width="16" customWidth="1"/>
    <col min="44" max="44" width="15.25" customWidth="1"/>
    <col min="45" max="45" width="15.625" customWidth="1"/>
    <col min="46" max="46" width="16" customWidth="1"/>
  </cols>
  <sheetData>
    <row r="3" spans="1:46" ht="50.25" customHeight="1">
      <c r="A3" s="75" t="s">
        <v>2</v>
      </c>
      <c r="B3" s="21" t="s">
        <v>17</v>
      </c>
      <c r="C3" s="8">
        <v>1</v>
      </c>
      <c r="D3" s="8" t="s">
        <v>75</v>
      </c>
      <c r="E3" s="8" t="s">
        <v>76</v>
      </c>
      <c r="F3" s="8" t="s">
        <v>77</v>
      </c>
      <c r="G3" s="8">
        <v>3</v>
      </c>
      <c r="H3" s="8">
        <v>4</v>
      </c>
      <c r="I3" s="8" t="s">
        <v>64</v>
      </c>
      <c r="J3" s="8" t="s">
        <v>65</v>
      </c>
      <c r="K3" s="8" t="s">
        <v>78</v>
      </c>
      <c r="L3" s="8">
        <v>6</v>
      </c>
      <c r="M3" s="8">
        <v>7</v>
      </c>
      <c r="N3" s="8" t="s">
        <v>54</v>
      </c>
      <c r="O3" s="8" t="s">
        <v>55</v>
      </c>
      <c r="P3" s="8" t="s">
        <v>56</v>
      </c>
      <c r="Q3" s="8">
        <v>9</v>
      </c>
      <c r="R3" s="8">
        <v>10</v>
      </c>
      <c r="S3" s="8" t="s">
        <v>20</v>
      </c>
      <c r="T3" s="8" t="s">
        <v>21</v>
      </c>
      <c r="U3" s="8" t="s">
        <v>59</v>
      </c>
      <c r="V3" s="8">
        <v>12</v>
      </c>
      <c r="W3" s="8">
        <v>13</v>
      </c>
      <c r="X3" s="8" t="s">
        <v>79</v>
      </c>
      <c r="Y3" s="8" t="s">
        <v>80</v>
      </c>
      <c r="Z3" s="8" t="s">
        <v>81</v>
      </c>
      <c r="AA3" s="8">
        <v>15</v>
      </c>
      <c r="AB3" s="8">
        <v>16</v>
      </c>
      <c r="AC3" s="8">
        <v>17</v>
      </c>
      <c r="AD3" s="8">
        <v>18</v>
      </c>
      <c r="AE3" s="8" t="s">
        <v>15</v>
      </c>
      <c r="AF3" s="8" t="s">
        <v>16</v>
      </c>
      <c r="AG3" s="8" t="s">
        <v>82</v>
      </c>
      <c r="AH3" s="8" t="s">
        <v>83</v>
      </c>
      <c r="AI3" s="33" t="s">
        <v>84</v>
      </c>
      <c r="AJ3" s="24" t="s">
        <v>29</v>
      </c>
      <c r="AK3" s="16" t="s">
        <v>10</v>
      </c>
      <c r="AL3" s="17" t="s">
        <v>9</v>
      </c>
      <c r="AM3" s="18" t="s">
        <v>8</v>
      </c>
    </row>
    <row r="4" spans="1:46" ht="69" customHeight="1">
      <c r="A4" s="76"/>
      <c r="B4" s="20" t="s">
        <v>18</v>
      </c>
      <c r="C4" s="11">
        <v>1</v>
      </c>
      <c r="D4" s="14">
        <v>1</v>
      </c>
      <c r="E4" s="11">
        <v>1</v>
      </c>
      <c r="F4" s="14">
        <v>1</v>
      </c>
      <c r="G4" s="10">
        <v>3</v>
      </c>
      <c r="H4" s="10">
        <v>1</v>
      </c>
      <c r="I4" s="11">
        <v>1</v>
      </c>
      <c r="J4" s="11">
        <v>1</v>
      </c>
      <c r="K4" s="11">
        <v>1</v>
      </c>
      <c r="L4" s="10">
        <v>1</v>
      </c>
      <c r="M4" s="10">
        <v>1</v>
      </c>
      <c r="N4" s="10">
        <v>1</v>
      </c>
      <c r="O4" s="14">
        <v>1</v>
      </c>
      <c r="P4" s="14">
        <v>1</v>
      </c>
      <c r="Q4" s="13">
        <v>2</v>
      </c>
      <c r="R4" s="12">
        <v>1</v>
      </c>
      <c r="S4" s="13">
        <v>1</v>
      </c>
      <c r="T4" s="13">
        <v>1</v>
      </c>
      <c r="U4" s="15">
        <v>1</v>
      </c>
      <c r="V4" s="15">
        <v>1</v>
      </c>
      <c r="W4" s="12">
        <v>1</v>
      </c>
      <c r="X4" s="13">
        <v>1</v>
      </c>
      <c r="Y4" s="13">
        <v>1</v>
      </c>
      <c r="Z4" s="15">
        <v>1</v>
      </c>
      <c r="AA4" s="13">
        <v>2</v>
      </c>
      <c r="AB4" s="12">
        <v>3</v>
      </c>
      <c r="AC4" s="12">
        <v>1</v>
      </c>
      <c r="AD4" s="12">
        <v>1</v>
      </c>
      <c r="AE4" s="26">
        <v>2</v>
      </c>
      <c r="AF4" s="25">
        <v>1</v>
      </c>
      <c r="AG4" s="31">
        <v>1</v>
      </c>
      <c r="AH4" s="25">
        <v>1</v>
      </c>
      <c r="AI4" s="25">
        <v>1</v>
      </c>
      <c r="AJ4" s="26">
        <f>SUM(C4:AI4)</f>
        <v>40</v>
      </c>
      <c r="AK4" s="14">
        <f>AG4+Z4+V4+U4+P4+O4+F4+D4</f>
        <v>8</v>
      </c>
      <c r="AL4" s="34">
        <f>AI4+AH4+AF4+AA4+Y4+X4+T4+S4+Q4+K4+J4+I4+E4+C4</f>
        <v>16</v>
      </c>
      <c r="AM4" s="10">
        <f>AE4+AD4+AC4+AB4+W4+R4+N4+M4+L4+H4+G4</f>
        <v>16</v>
      </c>
      <c r="AP4" s="27" t="s">
        <v>39</v>
      </c>
      <c r="AQ4" s="14" t="s">
        <v>40</v>
      </c>
      <c r="AR4" s="10" t="s">
        <v>41</v>
      </c>
      <c r="AS4" s="28" t="s">
        <v>42</v>
      </c>
      <c r="AT4" s="11" t="s">
        <v>43</v>
      </c>
    </row>
    <row r="5" spans="1:46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26">
        <f t="shared" ref="AJ5:AK25" si="0">SUM(C5:AI5)</f>
        <v>0</v>
      </c>
      <c r="AK5" s="14">
        <f t="shared" ref="AK5:AK24" si="1">AG5+Z5+V5+U5+P5+O5+F5+D5</f>
        <v>0</v>
      </c>
      <c r="AL5" s="34">
        <f t="shared" ref="AL5:AL24" si="2">AI5+AH5+AF5+AA5+Y5+X5+T5+S5+Q5+K5+J5+I5+E5+C5</f>
        <v>0</v>
      </c>
      <c r="AM5" s="10">
        <f t="shared" ref="AM5:AM24" si="3">AE5+AD5+AC5+AB5+W5+R5+N5+M5+L5+H5+G5</f>
        <v>0</v>
      </c>
      <c r="AP5" s="29" t="s">
        <v>44</v>
      </c>
      <c r="AQ5" s="14" t="s">
        <v>45</v>
      </c>
      <c r="AR5" s="10" t="s">
        <v>46</v>
      </c>
      <c r="AS5" s="28" t="s">
        <v>47</v>
      </c>
      <c r="AT5" s="11" t="s">
        <v>48</v>
      </c>
    </row>
    <row r="6" spans="1:46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26">
        <f t="shared" si="0"/>
        <v>0</v>
      </c>
      <c r="AK6" s="14">
        <f t="shared" si="1"/>
        <v>0</v>
      </c>
      <c r="AL6" s="34">
        <f t="shared" si="2"/>
        <v>0</v>
      </c>
      <c r="AM6" s="10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spans="1:46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26">
        <f t="shared" si="0"/>
        <v>0</v>
      </c>
      <c r="AK7" s="14">
        <f t="shared" si="1"/>
        <v>0</v>
      </c>
      <c r="AL7" s="34">
        <f t="shared" si="2"/>
        <v>0</v>
      </c>
      <c r="AM7" s="10">
        <f t="shared" si="3"/>
        <v>0</v>
      </c>
    </row>
    <row r="8" spans="1:46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26">
        <f t="shared" si="0"/>
        <v>0</v>
      </c>
      <c r="AK8" s="14">
        <f t="shared" si="1"/>
        <v>0</v>
      </c>
      <c r="AL8" s="34">
        <f t="shared" si="2"/>
        <v>0</v>
      </c>
      <c r="AM8" s="10">
        <f t="shared" si="3"/>
        <v>0</v>
      </c>
    </row>
    <row r="9" spans="1:46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26">
        <f t="shared" si="0"/>
        <v>0</v>
      </c>
      <c r="AK9" s="14">
        <f t="shared" si="1"/>
        <v>0</v>
      </c>
      <c r="AL9" s="34">
        <f t="shared" si="2"/>
        <v>0</v>
      </c>
      <c r="AM9" s="10">
        <f t="shared" si="3"/>
        <v>0</v>
      </c>
    </row>
    <row r="10" spans="1:46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26">
        <f t="shared" si="0"/>
        <v>0</v>
      </c>
      <c r="AK10" s="14">
        <f t="shared" si="1"/>
        <v>0</v>
      </c>
      <c r="AL10" s="34">
        <f t="shared" si="2"/>
        <v>0</v>
      </c>
      <c r="AM10" s="10">
        <f t="shared" si="3"/>
        <v>0</v>
      </c>
    </row>
    <row r="11" spans="1:46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26">
        <f t="shared" si="0"/>
        <v>0</v>
      </c>
      <c r="AK11" s="14">
        <f t="shared" si="1"/>
        <v>0</v>
      </c>
      <c r="AL11" s="34">
        <f t="shared" si="2"/>
        <v>0</v>
      </c>
      <c r="AM11" s="10">
        <f t="shared" si="3"/>
        <v>0</v>
      </c>
    </row>
    <row r="12" spans="1:46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26">
        <f t="shared" si="0"/>
        <v>0</v>
      </c>
      <c r="AK12" s="14">
        <f t="shared" si="1"/>
        <v>0</v>
      </c>
      <c r="AL12" s="34">
        <f t="shared" si="2"/>
        <v>0</v>
      </c>
      <c r="AM12" s="10">
        <f t="shared" si="3"/>
        <v>0</v>
      </c>
    </row>
    <row r="13" spans="1:46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26">
        <f t="shared" si="0"/>
        <v>0</v>
      </c>
      <c r="AK13" s="14">
        <f t="shared" si="1"/>
        <v>0</v>
      </c>
      <c r="AL13" s="34">
        <f t="shared" si="2"/>
        <v>0</v>
      </c>
      <c r="AM13" s="10">
        <f t="shared" si="3"/>
        <v>0</v>
      </c>
    </row>
    <row r="14" spans="1:46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6">
        <f t="shared" si="0"/>
        <v>0</v>
      </c>
      <c r="AK14" s="14">
        <f t="shared" si="1"/>
        <v>0</v>
      </c>
      <c r="AL14" s="34">
        <f t="shared" si="2"/>
        <v>0</v>
      </c>
      <c r="AM14" s="10">
        <f t="shared" si="3"/>
        <v>0</v>
      </c>
    </row>
    <row r="15" spans="1:46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6">
        <f t="shared" si="0"/>
        <v>0</v>
      </c>
      <c r="AK15" s="14">
        <f t="shared" si="1"/>
        <v>0</v>
      </c>
      <c r="AL15" s="34">
        <f t="shared" si="2"/>
        <v>0</v>
      </c>
      <c r="AM15" s="10">
        <f t="shared" si="3"/>
        <v>0</v>
      </c>
    </row>
    <row r="16" spans="1:46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26">
        <f t="shared" si="0"/>
        <v>0</v>
      </c>
      <c r="AK16" s="14">
        <f t="shared" si="1"/>
        <v>0</v>
      </c>
      <c r="AL16" s="34">
        <f t="shared" si="2"/>
        <v>0</v>
      </c>
      <c r="AM16" s="10">
        <f t="shared" si="3"/>
        <v>0</v>
      </c>
    </row>
    <row r="17" spans="1:39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6">
        <f t="shared" si="0"/>
        <v>0</v>
      </c>
      <c r="AK17" s="14">
        <f t="shared" si="1"/>
        <v>0</v>
      </c>
      <c r="AL17" s="34">
        <f t="shared" si="2"/>
        <v>0</v>
      </c>
      <c r="AM17" s="10">
        <f t="shared" si="3"/>
        <v>0</v>
      </c>
    </row>
    <row r="18" spans="1:39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26">
        <f t="shared" si="0"/>
        <v>0</v>
      </c>
      <c r="AK18" s="14">
        <f t="shared" si="1"/>
        <v>0</v>
      </c>
      <c r="AL18" s="34">
        <f t="shared" si="2"/>
        <v>0</v>
      </c>
      <c r="AM18" s="10">
        <f t="shared" si="3"/>
        <v>0</v>
      </c>
    </row>
    <row r="19" spans="1:39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26">
        <f t="shared" si="0"/>
        <v>0</v>
      </c>
      <c r="AK19" s="14">
        <f t="shared" si="1"/>
        <v>0</v>
      </c>
      <c r="AL19" s="34">
        <f t="shared" si="2"/>
        <v>0</v>
      </c>
      <c r="AM19" s="10">
        <f t="shared" si="3"/>
        <v>0</v>
      </c>
    </row>
    <row r="20" spans="1:39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26">
        <f t="shared" si="0"/>
        <v>0</v>
      </c>
      <c r="AK20" s="14">
        <f t="shared" si="1"/>
        <v>0</v>
      </c>
      <c r="AL20" s="34">
        <f t="shared" si="2"/>
        <v>0</v>
      </c>
      <c r="AM20" s="10">
        <f t="shared" si="3"/>
        <v>0</v>
      </c>
    </row>
    <row r="21" spans="1:39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26">
        <f t="shared" si="0"/>
        <v>0</v>
      </c>
      <c r="AK21" s="14">
        <f t="shared" si="1"/>
        <v>0</v>
      </c>
      <c r="AL21" s="34">
        <f t="shared" si="2"/>
        <v>0</v>
      </c>
      <c r="AM21" s="10">
        <f t="shared" si="3"/>
        <v>0</v>
      </c>
    </row>
    <row r="22" spans="1:39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26">
        <f t="shared" si="0"/>
        <v>0</v>
      </c>
      <c r="AK22" s="14">
        <f t="shared" si="1"/>
        <v>0</v>
      </c>
      <c r="AL22" s="34">
        <f t="shared" si="2"/>
        <v>0</v>
      </c>
      <c r="AM22" s="10">
        <f t="shared" si="3"/>
        <v>0</v>
      </c>
    </row>
    <row r="23" spans="1:39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26">
        <f t="shared" si="0"/>
        <v>0</v>
      </c>
      <c r="AK23" s="14">
        <f t="shared" si="1"/>
        <v>0</v>
      </c>
      <c r="AL23" s="34">
        <f t="shared" si="2"/>
        <v>0</v>
      </c>
      <c r="AM23" s="10">
        <f t="shared" si="3"/>
        <v>0</v>
      </c>
    </row>
    <row r="24" spans="1:39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26">
        <f t="shared" si="0"/>
        <v>0</v>
      </c>
      <c r="AK24" s="14">
        <f t="shared" si="1"/>
        <v>0</v>
      </c>
      <c r="AL24" s="34">
        <f t="shared" si="2"/>
        <v>0</v>
      </c>
      <c r="AM24" s="10">
        <f t="shared" si="3"/>
        <v>0</v>
      </c>
    </row>
    <row r="25" spans="1:39" ht="28.5" thickBot="1">
      <c r="A25" s="77" t="s">
        <v>19</v>
      </c>
      <c r="B25" s="78"/>
      <c r="C25" s="4" t="e">
        <f>AVERAGE(C5:C24)</f>
        <v>#DIV/0!</v>
      </c>
      <c r="D25" s="4" t="e">
        <f t="shared" ref="D25:AI25" si="4">AVERAGE(D5:D24)</f>
        <v>#DIV/0!</v>
      </c>
      <c r="E25" s="4" t="e">
        <f t="shared" si="4"/>
        <v>#DIV/0!</v>
      </c>
      <c r="F25" s="4" t="e">
        <f t="shared" si="4"/>
        <v>#DIV/0!</v>
      </c>
      <c r="G25" s="4" t="e">
        <f t="shared" si="4"/>
        <v>#DIV/0!</v>
      </c>
      <c r="H25" s="4"/>
      <c r="I25" s="4" t="e">
        <f t="shared" si="4"/>
        <v>#DIV/0!</v>
      </c>
      <c r="J25" s="4" t="e">
        <f t="shared" si="4"/>
        <v>#DIV/0!</v>
      </c>
      <c r="K25" s="4" t="e">
        <f t="shared" si="4"/>
        <v>#DIV/0!</v>
      </c>
      <c r="L25" s="4" t="e">
        <f t="shared" si="4"/>
        <v>#DIV/0!</v>
      </c>
      <c r="M25" s="4"/>
      <c r="N25" s="4" t="e">
        <f t="shared" si="4"/>
        <v>#DIV/0!</v>
      </c>
      <c r="O25" s="4" t="e">
        <f t="shared" si="4"/>
        <v>#DIV/0!</v>
      </c>
      <c r="P25" s="4" t="e">
        <f t="shared" si="4"/>
        <v>#DIV/0!</v>
      </c>
      <c r="Q25" s="4" t="e">
        <f t="shared" si="4"/>
        <v>#DIV/0!</v>
      </c>
      <c r="R25" s="4" t="e">
        <f t="shared" si="4"/>
        <v>#DIV/0!</v>
      </c>
      <c r="S25" s="4" t="e">
        <f t="shared" si="4"/>
        <v>#DIV/0!</v>
      </c>
      <c r="T25" s="4" t="e">
        <f t="shared" si="4"/>
        <v>#DIV/0!</v>
      </c>
      <c r="U25" s="4" t="e">
        <f t="shared" si="4"/>
        <v>#DIV/0!</v>
      </c>
      <c r="V25" s="4" t="e">
        <f t="shared" si="4"/>
        <v>#DIV/0!</v>
      </c>
      <c r="W25" s="4" t="e">
        <f t="shared" si="4"/>
        <v>#DIV/0!</v>
      </c>
      <c r="X25" s="4" t="e">
        <f t="shared" si="4"/>
        <v>#DIV/0!</v>
      </c>
      <c r="Y25" s="4" t="e">
        <f t="shared" si="4"/>
        <v>#DIV/0!</v>
      </c>
      <c r="Z25" s="4" t="e">
        <f t="shared" si="4"/>
        <v>#DIV/0!</v>
      </c>
      <c r="AA25" s="4" t="e">
        <f t="shared" si="4"/>
        <v>#DIV/0!</v>
      </c>
      <c r="AB25" s="4" t="e">
        <f t="shared" si="4"/>
        <v>#DIV/0!</v>
      </c>
      <c r="AC25" s="4" t="e">
        <f t="shared" si="4"/>
        <v>#DIV/0!</v>
      </c>
      <c r="AD25" s="4" t="e">
        <f t="shared" si="4"/>
        <v>#DIV/0!</v>
      </c>
      <c r="AE25" s="4" t="e">
        <f t="shared" si="4"/>
        <v>#DIV/0!</v>
      </c>
      <c r="AF25" s="4" t="e">
        <f t="shared" si="4"/>
        <v>#DIV/0!</v>
      </c>
      <c r="AG25" s="4" t="e">
        <f t="shared" si="4"/>
        <v>#DIV/0!</v>
      </c>
      <c r="AH25" s="4" t="e">
        <f t="shared" si="4"/>
        <v>#DIV/0!</v>
      </c>
      <c r="AI25" s="4" t="e">
        <f t="shared" si="4"/>
        <v>#DIV/0!</v>
      </c>
      <c r="AJ25" s="26" t="e">
        <f t="shared" si="0"/>
        <v>#DIV/0!</v>
      </c>
      <c r="AK25" s="26" t="e">
        <f t="shared" si="0"/>
        <v>#DIV/0!</v>
      </c>
      <c r="AL25" s="19">
        <f>SUM(AL5:AL24)</f>
        <v>0</v>
      </c>
      <c r="AM25" s="19">
        <f>SUM(AM5:AM24)</f>
        <v>0</v>
      </c>
    </row>
    <row r="26" spans="1:39" ht="51.75" customHeight="1" thickTop="1" thickBot="1">
      <c r="A26" s="22"/>
      <c r="B26" s="23" t="s">
        <v>34</v>
      </c>
      <c r="C26" s="30" t="e">
        <f t="shared" ref="C26:AK26" si="5">C25/C4*100</f>
        <v>#DIV/0!</v>
      </c>
      <c r="D26" s="30" t="e">
        <f t="shared" si="5"/>
        <v>#DIV/0!</v>
      </c>
      <c r="E26" s="30" t="e">
        <f t="shared" si="5"/>
        <v>#DIV/0!</v>
      </c>
      <c r="F26" s="30" t="e">
        <f t="shared" si="5"/>
        <v>#DIV/0!</v>
      </c>
      <c r="G26" s="30" t="e">
        <f t="shared" si="5"/>
        <v>#DIV/0!</v>
      </c>
      <c r="H26" s="30"/>
      <c r="I26" s="30" t="e">
        <f t="shared" si="5"/>
        <v>#DIV/0!</v>
      </c>
      <c r="J26" s="30" t="e">
        <f t="shared" si="5"/>
        <v>#DIV/0!</v>
      </c>
      <c r="K26" s="30" t="e">
        <f t="shared" si="5"/>
        <v>#DIV/0!</v>
      </c>
      <c r="L26" s="30" t="e">
        <f t="shared" si="5"/>
        <v>#DIV/0!</v>
      </c>
      <c r="M26" s="30"/>
      <c r="N26" s="30" t="e">
        <f t="shared" si="5"/>
        <v>#DIV/0!</v>
      </c>
      <c r="O26" s="30" t="e">
        <f t="shared" si="5"/>
        <v>#DIV/0!</v>
      </c>
      <c r="P26" s="30" t="e">
        <f t="shared" si="5"/>
        <v>#DIV/0!</v>
      </c>
      <c r="Q26" s="30" t="e">
        <f t="shared" si="5"/>
        <v>#DIV/0!</v>
      </c>
      <c r="R26" s="30" t="e">
        <f t="shared" si="5"/>
        <v>#DIV/0!</v>
      </c>
      <c r="S26" s="30" t="e">
        <f t="shared" si="5"/>
        <v>#DIV/0!</v>
      </c>
      <c r="T26" s="30" t="e">
        <f t="shared" si="5"/>
        <v>#DIV/0!</v>
      </c>
      <c r="U26" s="30" t="e">
        <f t="shared" si="5"/>
        <v>#DIV/0!</v>
      </c>
      <c r="V26" s="30" t="e">
        <f t="shared" si="5"/>
        <v>#DIV/0!</v>
      </c>
      <c r="W26" s="30" t="e">
        <f t="shared" si="5"/>
        <v>#DIV/0!</v>
      </c>
      <c r="X26" s="30" t="e">
        <f t="shared" si="5"/>
        <v>#DIV/0!</v>
      </c>
      <c r="Y26" s="30" t="e">
        <f t="shared" si="5"/>
        <v>#DIV/0!</v>
      </c>
      <c r="Z26" s="30" t="e">
        <f t="shared" si="5"/>
        <v>#DIV/0!</v>
      </c>
      <c r="AA26" s="30" t="e">
        <f t="shared" si="5"/>
        <v>#DIV/0!</v>
      </c>
      <c r="AB26" s="30" t="e">
        <f t="shared" si="5"/>
        <v>#DIV/0!</v>
      </c>
      <c r="AC26" s="30" t="e">
        <f t="shared" si="5"/>
        <v>#DIV/0!</v>
      </c>
      <c r="AD26" s="30" t="e">
        <f t="shared" si="5"/>
        <v>#DIV/0!</v>
      </c>
      <c r="AE26" s="30" t="e">
        <f t="shared" si="5"/>
        <v>#DIV/0!</v>
      </c>
      <c r="AF26" s="30" t="e">
        <f t="shared" si="5"/>
        <v>#DIV/0!</v>
      </c>
      <c r="AG26" s="30" t="e">
        <f t="shared" si="5"/>
        <v>#DIV/0!</v>
      </c>
      <c r="AH26" s="30" t="e">
        <f t="shared" si="5"/>
        <v>#DIV/0!</v>
      </c>
      <c r="AI26" s="30" t="e">
        <f t="shared" si="5"/>
        <v>#DIV/0!</v>
      </c>
      <c r="AJ26" s="30" t="e">
        <f t="shared" si="5"/>
        <v>#DIV/0!</v>
      </c>
      <c r="AK26" s="30" t="e">
        <f t="shared" si="5"/>
        <v>#DIV/0!</v>
      </c>
      <c r="AL26" s="19"/>
      <c r="AM26" s="19"/>
    </row>
    <row r="27" spans="1:39" ht="29.25" thickTop="1" thickBot="1">
      <c r="A27" s="79" t="s">
        <v>4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6"/>
        <v>#DIV/0!</v>
      </c>
      <c r="F27" s="30" t="e">
        <f t="shared" si="6"/>
        <v>#DIV/0!</v>
      </c>
      <c r="G27" s="30" t="e">
        <f t="shared" si="6"/>
        <v>#DIV/0!</v>
      </c>
      <c r="H27" s="30" t="str">
        <f t="shared" si="6"/>
        <v xml:space="preserve"> يحتاج الى تدخل سريع</v>
      </c>
      <c r="I27" s="30" t="e">
        <f t="shared" si="6"/>
        <v>#DIV/0!</v>
      </c>
      <c r="J27" s="30" t="e">
        <f t="shared" si="6"/>
        <v>#DIV/0!</v>
      </c>
      <c r="K27" s="30" t="e">
        <f t="shared" si="6"/>
        <v>#DIV/0!</v>
      </c>
      <c r="L27" s="30" t="e">
        <f t="shared" si="6"/>
        <v>#DIV/0!</v>
      </c>
      <c r="M27" s="30" t="str">
        <f t="shared" si="6"/>
        <v xml:space="preserve"> يحتاج الى تدخل سريع</v>
      </c>
      <c r="N27" s="30" t="e">
        <f t="shared" si="6"/>
        <v>#DIV/0!</v>
      </c>
      <c r="O27" s="30" t="e">
        <f t="shared" si="6"/>
        <v>#DIV/0!</v>
      </c>
      <c r="P27" s="30" t="e">
        <f t="shared" si="6"/>
        <v>#DIV/0!</v>
      </c>
      <c r="Q27" s="30" t="e">
        <f t="shared" si="6"/>
        <v>#DIV/0!</v>
      </c>
      <c r="R27" s="30" t="e">
        <f t="shared" si="6"/>
        <v>#DIV/0!</v>
      </c>
      <c r="S27" s="30" t="e">
        <f t="shared" si="6"/>
        <v>#DIV/0!</v>
      </c>
      <c r="T27" s="30" t="e">
        <f t="shared" si="6"/>
        <v>#DIV/0!</v>
      </c>
      <c r="U27" s="30" t="e">
        <f t="shared" si="6"/>
        <v>#DIV/0!</v>
      </c>
      <c r="V27" s="30" t="e">
        <f t="shared" si="6"/>
        <v>#DIV/0!</v>
      </c>
      <c r="W27" s="30" t="e">
        <f t="shared" si="6"/>
        <v>#DIV/0!</v>
      </c>
      <c r="X27" s="30" t="e">
        <f t="shared" si="6"/>
        <v>#DIV/0!</v>
      </c>
      <c r="Y27" s="30" t="e">
        <f t="shared" si="6"/>
        <v>#DIV/0!</v>
      </c>
      <c r="Z27" s="30" t="e">
        <f t="shared" si="6"/>
        <v>#DIV/0!</v>
      </c>
      <c r="AA27" s="30" t="e">
        <f t="shared" si="6"/>
        <v>#DIV/0!</v>
      </c>
      <c r="AB27" s="30" t="e">
        <f t="shared" si="6"/>
        <v>#DIV/0!</v>
      </c>
      <c r="AC27" s="30" t="e">
        <f t="shared" si="6"/>
        <v>#DIV/0!</v>
      </c>
      <c r="AD27" s="30" t="e">
        <f t="shared" si="6"/>
        <v>#DIV/0!</v>
      </c>
      <c r="AE27" s="30" t="e">
        <f t="shared" si="6"/>
        <v>#DIV/0!</v>
      </c>
      <c r="AF27" s="30" t="e">
        <f t="shared" si="6"/>
        <v>#DIV/0!</v>
      </c>
      <c r="AG27" s="30" t="e">
        <f t="shared" si="6"/>
        <v>#DIV/0!</v>
      </c>
      <c r="AH27" s="30" t="e">
        <f t="shared" si="6"/>
        <v>#DIV/0!</v>
      </c>
      <c r="AI27" s="30" t="e">
        <f t="shared" si="6"/>
        <v>#DIV/0!</v>
      </c>
      <c r="AJ27" s="30" t="e">
        <f t="shared" si="6"/>
        <v>#DIV/0!</v>
      </c>
      <c r="AK27" s="30" t="e">
        <f t="shared" ref="AK27" si="7">IF(AK26&gt;70,"مستوى متميز",IF(AK26&gt;60,"مستوى جيد",IF(AK26&gt;50,"مستوى ملائم",IF(AK26&gt;=40,"مستوى غير ملائم"," يحتاج الى تدخل سريع"))))</f>
        <v>#DIV/0!</v>
      </c>
    </row>
    <row r="28" spans="1:39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I24">
    <cfRule type="cellIs" dxfId="40" priority="8" operator="between">
      <formula>1</formula>
      <formula>5</formula>
    </cfRule>
    <cfRule type="cellIs" dxfId="39" priority="9" operator="lessThan">
      <formula>1</formula>
    </cfRule>
    <cfRule type="containsText" dxfId="38" priority="10" operator="containsText" text="0">
      <formula>NOT(ISERROR(SEARCH("0",C5)))</formula>
    </cfRule>
    <cfRule type="containsText" dxfId="37" priority="11" operator="containsText" text="0">
      <formula>NOT(ISERROR(SEARCH("0",C5)))</formula>
    </cfRule>
    <cfRule type="containsText" dxfId="36" priority="12" operator="containsText" text="1">
      <formula>NOT(ISERROR(SEARCH("1",C5)))</formula>
    </cfRule>
    <cfRule type="containsText" dxfId="35" priority="13" operator="containsText" text="0">
      <formula>NOT(ISERROR(SEARCH("0",C5)))</formula>
    </cfRule>
  </conditionalFormatting>
  <conditionalFormatting sqref="C26:AK26">
    <cfRule type="cellIs" dxfId="34" priority="1" operator="between">
      <formula>40</formula>
      <formula>50</formula>
    </cfRule>
    <cfRule type="cellIs" dxfId="33" priority="3" operator="greaterThan">
      <formula>70</formula>
    </cfRule>
    <cfRule type="cellIs" dxfId="32" priority="4" operator="between">
      <formula>60</formula>
      <formula>70</formula>
    </cfRule>
    <cfRule type="cellIs" dxfId="31" priority="5" operator="lessThan">
      <formula>40</formula>
    </cfRule>
    <cfRule type="cellIs" dxfId="30" priority="6" operator="between">
      <formula>50</formula>
      <formula>60</formula>
    </cfRule>
  </conditionalFormatting>
  <conditionalFormatting sqref="C27:AK27">
    <cfRule type="cellIs" dxfId="29" priority="7" operator="between">
      <formula>70</formula>
      <formula>100</formula>
    </cfRule>
  </conditionalFormatting>
  <conditionalFormatting sqref="AQ6:AT6">
    <cfRule type="expression" dxfId="28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AS58"/>
  <sheetViews>
    <sheetView rightToLeft="1" zoomScale="67" zoomScaleNormal="50" workbookViewId="0">
      <pane ySplit="4" topLeftCell="A6" activePane="bottomLeft" state="frozen"/>
      <selection activeCell="D1" sqref="D1"/>
      <selection pane="bottomLeft" activeCell="AI6" sqref="AI6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5" width="14.625" customWidth="1"/>
    <col min="6" max="7" width="10.25" bestFit="1" customWidth="1"/>
    <col min="8" max="8" width="10.25" customWidth="1"/>
    <col min="9" max="9" width="14.125" bestFit="1" customWidth="1"/>
    <col min="10" max="11" width="10.25" bestFit="1" customWidth="1"/>
    <col min="12" max="13" width="10.25" customWidth="1"/>
    <col min="14" max="15" width="10.25" bestFit="1" customWidth="1"/>
    <col min="16" max="16" width="10.25" customWidth="1"/>
    <col min="17" max="34" width="10.25" bestFit="1" customWidth="1"/>
    <col min="35" max="35" width="13" customWidth="1"/>
    <col min="36" max="36" width="14.625" customWidth="1"/>
    <col min="37" max="37" width="20.125" customWidth="1"/>
    <col min="38" max="38" width="16.25" customWidth="1"/>
    <col min="39" max="39" width="9.125" customWidth="1"/>
    <col min="40" max="40" width="0.25" customWidth="1"/>
    <col min="41" max="41" width="16.75" customWidth="1"/>
    <col min="42" max="42" width="16" customWidth="1"/>
    <col min="43" max="43" width="15.25" customWidth="1"/>
    <col min="44" max="44" width="15.625" customWidth="1"/>
    <col min="45" max="45" width="16" customWidth="1"/>
  </cols>
  <sheetData>
    <row r="3" spans="1:45" ht="50.25" customHeight="1">
      <c r="A3" s="75" t="s">
        <v>2</v>
      </c>
      <c r="B3" s="21" t="s">
        <v>17</v>
      </c>
      <c r="C3" s="8">
        <v>1</v>
      </c>
      <c r="D3" s="8">
        <v>2</v>
      </c>
      <c r="E3" s="8" t="s">
        <v>13</v>
      </c>
      <c r="F3" s="8" t="s">
        <v>68</v>
      </c>
      <c r="G3" s="8">
        <v>4</v>
      </c>
      <c r="H3" s="8" t="s">
        <v>64</v>
      </c>
      <c r="I3" s="8" t="s">
        <v>65</v>
      </c>
      <c r="J3" s="8" t="s">
        <v>78</v>
      </c>
      <c r="K3" s="8">
        <v>6</v>
      </c>
      <c r="L3" s="8" t="s">
        <v>88</v>
      </c>
      <c r="M3" s="8" t="s">
        <v>86</v>
      </c>
      <c r="N3" s="8" t="s">
        <v>103</v>
      </c>
      <c r="O3" s="8">
        <v>8</v>
      </c>
      <c r="P3" s="8">
        <v>9</v>
      </c>
      <c r="Q3" s="8">
        <v>10</v>
      </c>
      <c r="R3" s="8" t="s">
        <v>20</v>
      </c>
      <c r="S3" s="8" t="s">
        <v>21</v>
      </c>
      <c r="T3" s="8" t="s">
        <v>59</v>
      </c>
      <c r="U3" s="8">
        <v>12</v>
      </c>
      <c r="V3" s="8">
        <v>13</v>
      </c>
      <c r="W3" s="8" t="s">
        <v>79</v>
      </c>
      <c r="X3" s="8" t="s">
        <v>80</v>
      </c>
      <c r="Y3" s="8" t="s">
        <v>26</v>
      </c>
      <c r="Z3" s="8" t="s">
        <v>27</v>
      </c>
      <c r="AA3" s="8" t="s">
        <v>104</v>
      </c>
      <c r="AB3" s="8" t="s">
        <v>30</v>
      </c>
      <c r="AC3" s="8" t="s">
        <v>31</v>
      </c>
      <c r="AD3" s="8" t="s">
        <v>105</v>
      </c>
      <c r="AE3" s="8" t="s">
        <v>106</v>
      </c>
      <c r="AF3" s="8">
        <v>17</v>
      </c>
      <c r="AG3" s="8" t="s">
        <v>69</v>
      </c>
      <c r="AH3" s="8" t="s">
        <v>70</v>
      </c>
      <c r="AI3" s="24" t="s">
        <v>29</v>
      </c>
      <c r="AJ3" s="16" t="s">
        <v>10</v>
      </c>
      <c r="AK3" s="17" t="s">
        <v>9</v>
      </c>
      <c r="AL3" s="18" t="s">
        <v>8</v>
      </c>
    </row>
    <row r="4" spans="1:45" ht="69" customHeight="1">
      <c r="A4" s="76"/>
      <c r="B4" s="20" t="s">
        <v>18</v>
      </c>
      <c r="C4" s="11">
        <v>1</v>
      </c>
      <c r="D4" s="14">
        <v>1</v>
      </c>
      <c r="E4" s="10">
        <v>1</v>
      </c>
      <c r="F4" s="14">
        <v>1</v>
      </c>
      <c r="G4" s="10">
        <v>3</v>
      </c>
      <c r="H4" s="11">
        <v>1</v>
      </c>
      <c r="I4" s="11">
        <v>1</v>
      </c>
      <c r="J4" s="11">
        <v>2</v>
      </c>
      <c r="K4" s="11">
        <v>1</v>
      </c>
      <c r="L4" s="10">
        <v>1</v>
      </c>
      <c r="M4" s="11">
        <v>1</v>
      </c>
      <c r="N4" s="14">
        <v>1</v>
      </c>
      <c r="O4" s="14">
        <v>1</v>
      </c>
      <c r="P4" s="10">
        <v>2</v>
      </c>
      <c r="Q4" s="10">
        <v>1</v>
      </c>
      <c r="R4" s="13">
        <v>1</v>
      </c>
      <c r="S4" s="13">
        <v>1</v>
      </c>
      <c r="T4" s="15">
        <v>1</v>
      </c>
      <c r="U4" s="12">
        <v>1</v>
      </c>
      <c r="V4" s="12">
        <v>1</v>
      </c>
      <c r="W4" s="13">
        <v>3</v>
      </c>
      <c r="X4" s="12">
        <v>1</v>
      </c>
      <c r="Y4" s="13">
        <v>1</v>
      </c>
      <c r="Z4" s="13">
        <v>1</v>
      </c>
      <c r="AA4" s="15">
        <v>2</v>
      </c>
      <c r="AB4" s="12">
        <v>1</v>
      </c>
      <c r="AC4" s="13">
        <v>1</v>
      </c>
      <c r="AD4" s="13">
        <v>1</v>
      </c>
      <c r="AE4" s="15">
        <v>1</v>
      </c>
      <c r="AF4" s="26">
        <v>1</v>
      </c>
      <c r="AG4" s="25">
        <v>1</v>
      </c>
      <c r="AH4" s="26">
        <v>2</v>
      </c>
      <c r="AI4" s="26">
        <f>SUM(C4:AH4)</f>
        <v>40</v>
      </c>
      <c r="AJ4" s="14">
        <f>AE4+AA4+T4+O4+N4+F4+D4</f>
        <v>8</v>
      </c>
      <c r="AK4" s="34">
        <f>AG4+AD4+AC4+Z4+Y4+W4+S4+R4+M4+K4+J4+I4+H4+C4</f>
        <v>17</v>
      </c>
      <c r="AL4" s="10">
        <f>AH4+AF4+AB4+X4+V4+U4+Q4+P4+L4+G4+E4</f>
        <v>15</v>
      </c>
      <c r="AO4" s="27" t="s">
        <v>39</v>
      </c>
      <c r="AP4" s="14" t="s">
        <v>40</v>
      </c>
      <c r="AQ4" s="10" t="s">
        <v>41</v>
      </c>
      <c r="AR4" s="28" t="s">
        <v>42</v>
      </c>
      <c r="AS4" s="11" t="s">
        <v>43</v>
      </c>
    </row>
    <row r="5" spans="1:45" ht="27.75">
      <c r="A5" s="5">
        <v>1</v>
      </c>
      <c r="B5" s="6" t="s">
        <v>113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9"/>
      <c r="AA5" s="9"/>
      <c r="AB5" s="9"/>
      <c r="AC5" s="9"/>
      <c r="AD5" s="9"/>
      <c r="AE5" s="9"/>
      <c r="AF5" s="9"/>
      <c r="AG5" s="9"/>
      <c r="AH5" s="9"/>
      <c r="AI5" s="26">
        <f t="shared" ref="AI5:AI24" si="0">SUM(C5:AH5)</f>
        <v>0</v>
      </c>
      <c r="AJ5" s="14">
        <f t="shared" ref="AJ5:AJ24" si="1">AE5+AA5+T5+O5+N5+F5+D5</f>
        <v>0</v>
      </c>
      <c r="AK5" s="34">
        <f t="shared" ref="AK5:AK24" si="2">AG5+AD5+AC5+Z5+Y5+W5+S5+R5+M5+K5+J5+I5+H5+C5</f>
        <v>0</v>
      </c>
      <c r="AL5" s="10">
        <f t="shared" ref="AL5:AL24" si="3">AH5+AF5+AB5+X5+V5+U5+Q5+P5+L5+G5+E5</f>
        <v>0</v>
      </c>
      <c r="AO5" s="29" t="s">
        <v>44</v>
      </c>
      <c r="AP5" s="14" t="s">
        <v>45</v>
      </c>
      <c r="AQ5" s="10" t="s">
        <v>46</v>
      </c>
      <c r="AR5" s="28" t="s">
        <v>47</v>
      </c>
      <c r="AS5" s="11" t="s">
        <v>48</v>
      </c>
    </row>
    <row r="6" spans="1:45" ht="27.75">
      <c r="A6" s="5">
        <v>2</v>
      </c>
      <c r="B6" s="6" t="s">
        <v>116</v>
      </c>
      <c r="C6" s="3">
        <v>0</v>
      </c>
      <c r="D6" s="3">
        <v>1</v>
      </c>
      <c r="E6" s="3">
        <v>0</v>
      </c>
      <c r="F6" s="3">
        <v>0</v>
      </c>
      <c r="G6" s="3">
        <v>3</v>
      </c>
      <c r="H6" s="3">
        <v>1</v>
      </c>
      <c r="I6" s="3">
        <v>1</v>
      </c>
      <c r="J6" s="3">
        <v>2</v>
      </c>
      <c r="K6" s="3">
        <v>1</v>
      </c>
      <c r="L6" s="3">
        <v>0</v>
      </c>
      <c r="M6" s="3">
        <v>1</v>
      </c>
      <c r="N6" s="3">
        <v>1</v>
      </c>
      <c r="O6" s="3">
        <v>1</v>
      </c>
      <c r="P6" s="3">
        <v>2</v>
      </c>
      <c r="Q6" s="3">
        <v>0</v>
      </c>
      <c r="R6" s="3">
        <v>1</v>
      </c>
      <c r="S6" s="3">
        <v>1</v>
      </c>
      <c r="T6" s="3">
        <v>1</v>
      </c>
      <c r="U6" s="3">
        <v>0</v>
      </c>
      <c r="V6" s="3">
        <v>0</v>
      </c>
      <c r="W6" s="3">
        <v>1</v>
      </c>
      <c r="X6" s="3">
        <v>1</v>
      </c>
      <c r="Y6" s="3">
        <v>1</v>
      </c>
      <c r="Z6" s="9">
        <v>1</v>
      </c>
      <c r="AA6" s="9">
        <v>0</v>
      </c>
      <c r="AB6" s="9">
        <v>1</v>
      </c>
      <c r="AC6" s="9">
        <v>0</v>
      </c>
      <c r="AD6" s="9">
        <v>1</v>
      </c>
      <c r="AE6" s="9">
        <v>1</v>
      </c>
      <c r="AF6" s="9">
        <v>1</v>
      </c>
      <c r="AG6" s="9">
        <v>1</v>
      </c>
      <c r="AH6" s="9">
        <v>0</v>
      </c>
      <c r="AI6" s="26">
        <f t="shared" si="0"/>
        <v>26</v>
      </c>
      <c r="AJ6" s="14">
        <f t="shared" si="1"/>
        <v>5</v>
      </c>
      <c r="AK6" s="34">
        <f t="shared" si="2"/>
        <v>13</v>
      </c>
      <c r="AL6" s="10">
        <f t="shared" si="3"/>
        <v>8</v>
      </c>
      <c r="AO6">
        <v>71</v>
      </c>
      <c r="AP6">
        <v>71</v>
      </c>
      <c r="AQ6">
        <v>71</v>
      </c>
      <c r="AR6">
        <v>71</v>
      </c>
      <c r="AS6">
        <v>71</v>
      </c>
    </row>
    <row r="7" spans="1:45" ht="27.75">
      <c r="A7" s="5">
        <v>3</v>
      </c>
      <c r="B7" s="6" t="s">
        <v>115</v>
      </c>
      <c r="C7" s="3">
        <v>1</v>
      </c>
      <c r="D7" s="3">
        <v>0</v>
      </c>
      <c r="E7" s="3">
        <v>1</v>
      </c>
      <c r="F7" s="3">
        <v>0</v>
      </c>
      <c r="G7" s="3">
        <v>3</v>
      </c>
      <c r="H7" s="3">
        <v>1</v>
      </c>
      <c r="I7" s="3">
        <v>1</v>
      </c>
      <c r="J7" s="3">
        <v>2</v>
      </c>
      <c r="K7" s="3">
        <v>1</v>
      </c>
      <c r="L7" s="3">
        <v>0</v>
      </c>
      <c r="M7" s="3">
        <v>1</v>
      </c>
      <c r="N7" s="3">
        <v>1</v>
      </c>
      <c r="O7" s="3">
        <v>1</v>
      </c>
      <c r="P7" s="3">
        <v>2</v>
      </c>
      <c r="Q7" s="3">
        <v>0</v>
      </c>
      <c r="R7" s="3">
        <v>1</v>
      </c>
      <c r="S7" s="3">
        <v>1</v>
      </c>
      <c r="T7" s="3">
        <v>1</v>
      </c>
      <c r="U7" s="3">
        <v>0</v>
      </c>
      <c r="V7" s="3">
        <v>0</v>
      </c>
      <c r="W7" s="3">
        <v>2</v>
      </c>
      <c r="X7" s="3">
        <v>1</v>
      </c>
      <c r="Y7" s="3">
        <v>1</v>
      </c>
      <c r="Z7" s="9">
        <v>1</v>
      </c>
      <c r="AA7" s="9">
        <v>2</v>
      </c>
      <c r="AB7" s="9">
        <v>1</v>
      </c>
      <c r="AC7" s="9">
        <v>0</v>
      </c>
      <c r="AD7" s="9">
        <v>1</v>
      </c>
      <c r="AE7" s="9">
        <v>0</v>
      </c>
      <c r="AF7" s="9">
        <v>1</v>
      </c>
      <c r="AG7" s="9">
        <v>1</v>
      </c>
      <c r="AH7" s="9">
        <v>0</v>
      </c>
      <c r="AI7" s="26">
        <f t="shared" si="0"/>
        <v>29</v>
      </c>
      <c r="AJ7" s="14">
        <f t="shared" si="1"/>
        <v>5</v>
      </c>
      <c r="AK7" s="34">
        <f t="shared" si="2"/>
        <v>15</v>
      </c>
      <c r="AL7" s="10">
        <f t="shared" si="3"/>
        <v>9</v>
      </c>
    </row>
    <row r="8" spans="1:45" ht="27.75">
      <c r="A8" s="5">
        <v>4</v>
      </c>
      <c r="B8" s="6" t="s">
        <v>114</v>
      </c>
      <c r="C8" s="3">
        <v>1</v>
      </c>
      <c r="D8" s="3">
        <v>1</v>
      </c>
      <c r="E8" s="3">
        <v>1</v>
      </c>
      <c r="F8" s="3">
        <v>0</v>
      </c>
      <c r="G8" s="3">
        <v>3</v>
      </c>
      <c r="H8" s="3">
        <v>1</v>
      </c>
      <c r="I8" s="3">
        <v>1</v>
      </c>
      <c r="J8" s="3">
        <v>2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2</v>
      </c>
      <c r="Q8" s="3">
        <v>0</v>
      </c>
      <c r="R8" s="3">
        <v>1</v>
      </c>
      <c r="S8" s="3">
        <v>1</v>
      </c>
      <c r="T8" s="3">
        <v>1</v>
      </c>
      <c r="U8" s="3">
        <v>0</v>
      </c>
      <c r="V8" s="3">
        <v>0</v>
      </c>
      <c r="W8" s="3">
        <v>2</v>
      </c>
      <c r="X8" s="3">
        <v>1</v>
      </c>
      <c r="Y8" s="3">
        <v>1</v>
      </c>
      <c r="Z8" s="9">
        <v>1</v>
      </c>
      <c r="AA8" s="9">
        <v>2</v>
      </c>
      <c r="AB8" s="9">
        <v>1</v>
      </c>
      <c r="AC8" s="9">
        <v>0</v>
      </c>
      <c r="AD8" s="9">
        <v>1</v>
      </c>
      <c r="AE8" s="9">
        <v>0</v>
      </c>
      <c r="AF8" s="9">
        <v>1</v>
      </c>
      <c r="AG8" s="9">
        <v>1</v>
      </c>
      <c r="AH8" s="9">
        <v>1</v>
      </c>
      <c r="AI8" s="26">
        <f t="shared" si="0"/>
        <v>32</v>
      </c>
      <c r="AJ8" s="14">
        <f t="shared" si="1"/>
        <v>6</v>
      </c>
      <c r="AK8" s="34">
        <f t="shared" si="2"/>
        <v>15</v>
      </c>
      <c r="AL8" s="10">
        <f t="shared" si="3"/>
        <v>11</v>
      </c>
    </row>
    <row r="9" spans="1:45" ht="27.75">
      <c r="A9" s="5">
        <v>5</v>
      </c>
      <c r="B9" s="6" t="s">
        <v>117</v>
      </c>
      <c r="C9" s="3">
        <v>1</v>
      </c>
      <c r="D9" s="3">
        <v>0</v>
      </c>
      <c r="E9" s="3">
        <v>1</v>
      </c>
      <c r="F9" s="3">
        <v>0</v>
      </c>
      <c r="G9" s="3">
        <v>3</v>
      </c>
      <c r="H9" s="3">
        <v>0</v>
      </c>
      <c r="I9" s="3">
        <v>1</v>
      </c>
      <c r="J9" s="3">
        <v>2</v>
      </c>
      <c r="K9" s="3">
        <v>1</v>
      </c>
      <c r="L9" s="3">
        <v>1</v>
      </c>
      <c r="M9" s="3">
        <v>0</v>
      </c>
      <c r="N9" s="3">
        <v>1</v>
      </c>
      <c r="O9" s="3">
        <v>0</v>
      </c>
      <c r="P9" s="3">
        <v>2</v>
      </c>
      <c r="Q9" s="3">
        <v>0</v>
      </c>
      <c r="R9" s="3">
        <v>1</v>
      </c>
      <c r="S9" s="3">
        <v>0</v>
      </c>
      <c r="T9" s="3">
        <v>1</v>
      </c>
      <c r="U9" s="3">
        <v>0</v>
      </c>
      <c r="V9" s="3">
        <v>0</v>
      </c>
      <c r="W9" s="3">
        <v>2</v>
      </c>
      <c r="X9" s="3">
        <v>1</v>
      </c>
      <c r="Y9" s="3">
        <v>1</v>
      </c>
      <c r="Z9" s="9">
        <v>1</v>
      </c>
      <c r="AA9" s="9">
        <v>0</v>
      </c>
      <c r="AB9" s="9">
        <v>1</v>
      </c>
      <c r="AC9" s="9">
        <v>0</v>
      </c>
      <c r="AD9" s="9">
        <v>1</v>
      </c>
      <c r="AE9" s="9">
        <v>0</v>
      </c>
      <c r="AF9" s="9">
        <v>1</v>
      </c>
      <c r="AG9" s="9">
        <v>0</v>
      </c>
      <c r="AH9" s="9">
        <v>1</v>
      </c>
      <c r="AI9" s="26">
        <f t="shared" si="0"/>
        <v>24</v>
      </c>
      <c r="AJ9" s="14">
        <f t="shared" si="1"/>
        <v>2</v>
      </c>
      <c r="AK9" s="34">
        <f t="shared" si="2"/>
        <v>11</v>
      </c>
      <c r="AL9" s="10">
        <f t="shared" si="3"/>
        <v>11</v>
      </c>
    </row>
    <row r="10" spans="1:45" ht="27.75">
      <c r="A10" s="5">
        <v>6</v>
      </c>
      <c r="B10" s="6" t="s">
        <v>118</v>
      </c>
      <c r="C10" s="3">
        <v>0</v>
      </c>
      <c r="D10" s="3">
        <v>1</v>
      </c>
      <c r="E10" s="3">
        <v>0</v>
      </c>
      <c r="F10" s="3">
        <v>1</v>
      </c>
      <c r="G10" s="3">
        <v>3</v>
      </c>
      <c r="H10" s="3">
        <v>0</v>
      </c>
      <c r="I10" s="3">
        <v>1</v>
      </c>
      <c r="J10" s="3">
        <v>0</v>
      </c>
      <c r="K10" s="3">
        <v>1</v>
      </c>
      <c r="L10" s="3">
        <v>1</v>
      </c>
      <c r="M10" s="3">
        <v>0</v>
      </c>
      <c r="N10" s="3">
        <v>1</v>
      </c>
      <c r="O10" s="3">
        <v>1</v>
      </c>
      <c r="P10" s="3">
        <v>2</v>
      </c>
      <c r="Q10" s="3">
        <v>1</v>
      </c>
      <c r="R10" s="3">
        <v>0</v>
      </c>
      <c r="S10" s="3">
        <v>0</v>
      </c>
      <c r="T10" s="3">
        <v>0</v>
      </c>
      <c r="U10" s="3">
        <v>0</v>
      </c>
      <c r="V10" s="3">
        <v>1</v>
      </c>
      <c r="W10" s="3">
        <v>1</v>
      </c>
      <c r="X10" s="3">
        <v>1</v>
      </c>
      <c r="Y10" s="3">
        <v>1</v>
      </c>
      <c r="Z10" s="9">
        <v>1</v>
      </c>
      <c r="AA10" s="9">
        <v>0</v>
      </c>
      <c r="AB10" s="9">
        <v>1</v>
      </c>
      <c r="AC10" s="9">
        <v>0</v>
      </c>
      <c r="AD10" s="9">
        <v>1</v>
      </c>
      <c r="AE10" s="9">
        <v>0</v>
      </c>
      <c r="AF10" s="9">
        <v>1</v>
      </c>
      <c r="AG10" s="9">
        <v>1</v>
      </c>
      <c r="AH10" s="9">
        <v>0</v>
      </c>
      <c r="AI10" s="26">
        <f t="shared" si="0"/>
        <v>22</v>
      </c>
      <c r="AJ10" s="14">
        <f t="shared" si="1"/>
        <v>4</v>
      </c>
      <c r="AK10" s="34">
        <f t="shared" si="2"/>
        <v>7</v>
      </c>
      <c r="AL10" s="10">
        <f t="shared" si="3"/>
        <v>11</v>
      </c>
    </row>
    <row r="11" spans="1:45" ht="27.75">
      <c r="A11" s="5">
        <v>7</v>
      </c>
      <c r="B11" s="6" t="s">
        <v>119</v>
      </c>
      <c r="C11" s="3">
        <v>1</v>
      </c>
      <c r="D11" s="3">
        <v>0</v>
      </c>
      <c r="E11" s="3">
        <v>1</v>
      </c>
      <c r="F11" s="3">
        <v>0</v>
      </c>
      <c r="G11" s="3">
        <v>1</v>
      </c>
      <c r="H11" s="3">
        <v>1</v>
      </c>
      <c r="I11" s="3">
        <v>0</v>
      </c>
      <c r="J11" s="3">
        <v>0</v>
      </c>
      <c r="K11" s="3">
        <v>1</v>
      </c>
      <c r="L11" s="3">
        <v>1</v>
      </c>
      <c r="M11" s="3">
        <v>0</v>
      </c>
      <c r="N11" s="3">
        <v>0</v>
      </c>
      <c r="O11" s="3">
        <v>1</v>
      </c>
      <c r="P11" s="3">
        <v>0</v>
      </c>
      <c r="Q11" s="3">
        <v>1</v>
      </c>
      <c r="R11" s="3">
        <v>1</v>
      </c>
      <c r="S11" s="3">
        <v>1</v>
      </c>
      <c r="T11" s="3">
        <v>1</v>
      </c>
      <c r="U11" s="3">
        <v>0</v>
      </c>
      <c r="V11" s="3">
        <v>1</v>
      </c>
      <c r="W11" s="3">
        <v>0</v>
      </c>
      <c r="X11" s="3">
        <v>1</v>
      </c>
      <c r="Y11" s="3">
        <v>1</v>
      </c>
      <c r="Z11" s="9">
        <v>1</v>
      </c>
      <c r="AA11" s="9">
        <v>2</v>
      </c>
      <c r="AB11" s="9">
        <v>0</v>
      </c>
      <c r="AC11" s="9">
        <v>0</v>
      </c>
      <c r="AD11" s="9">
        <v>0</v>
      </c>
      <c r="AE11" s="9">
        <v>0</v>
      </c>
      <c r="AF11" s="9">
        <v>1</v>
      </c>
      <c r="AG11" s="9">
        <v>0</v>
      </c>
      <c r="AH11" s="9">
        <v>0</v>
      </c>
      <c r="AI11" s="26">
        <f t="shared" si="0"/>
        <v>18</v>
      </c>
      <c r="AJ11" s="14">
        <f t="shared" si="1"/>
        <v>4</v>
      </c>
      <c r="AK11" s="34">
        <f t="shared" si="2"/>
        <v>7</v>
      </c>
      <c r="AL11" s="10">
        <f t="shared" si="3"/>
        <v>7</v>
      </c>
    </row>
    <row r="12" spans="1:45" ht="27.75">
      <c r="A12" s="5">
        <v>8</v>
      </c>
      <c r="B12" s="6" t="s">
        <v>120</v>
      </c>
      <c r="C12" s="3">
        <v>0</v>
      </c>
      <c r="D12" s="3">
        <v>1</v>
      </c>
      <c r="E12" s="3">
        <v>0</v>
      </c>
      <c r="F12" s="3">
        <v>0</v>
      </c>
      <c r="G12" s="3">
        <v>0</v>
      </c>
      <c r="H12" s="3">
        <v>0</v>
      </c>
      <c r="I12" s="3">
        <v>1</v>
      </c>
      <c r="J12" s="3">
        <v>2</v>
      </c>
      <c r="K12" s="3">
        <v>1</v>
      </c>
      <c r="L12" s="3">
        <v>0</v>
      </c>
      <c r="M12" s="3">
        <v>0</v>
      </c>
      <c r="N12" s="3">
        <v>1</v>
      </c>
      <c r="O12" s="3">
        <v>1</v>
      </c>
      <c r="P12" s="3">
        <v>0</v>
      </c>
      <c r="Q12" s="3">
        <v>0</v>
      </c>
      <c r="R12" s="3">
        <v>1</v>
      </c>
      <c r="S12" s="3">
        <v>0</v>
      </c>
      <c r="T12" s="3">
        <v>1</v>
      </c>
      <c r="U12" s="3">
        <v>0</v>
      </c>
      <c r="V12" s="3">
        <v>1</v>
      </c>
      <c r="W12" s="3">
        <v>1</v>
      </c>
      <c r="X12" s="3">
        <v>1</v>
      </c>
      <c r="Y12" s="3">
        <v>0</v>
      </c>
      <c r="Z12" s="9">
        <v>1</v>
      </c>
      <c r="AA12" s="9">
        <v>0</v>
      </c>
      <c r="AB12" s="9">
        <v>1</v>
      </c>
      <c r="AC12" s="9">
        <v>0</v>
      </c>
      <c r="AD12" s="9">
        <v>1</v>
      </c>
      <c r="AE12" s="9">
        <v>0</v>
      </c>
      <c r="AF12" s="9">
        <v>0</v>
      </c>
      <c r="AG12" s="9">
        <v>0</v>
      </c>
      <c r="AH12" s="9">
        <v>0</v>
      </c>
      <c r="AI12" s="26">
        <f t="shared" si="0"/>
        <v>15</v>
      </c>
      <c r="AJ12" s="14">
        <f t="shared" si="1"/>
        <v>4</v>
      </c>
      <c r="AK12" s="34">
        <f t="shared" si="2"/>
        <v>8</v>
      </c>
      <c r="AL12" s="10">
        <f t="shared" si="3"/>
        <v>3</v>
      </c>
    </row>
    <row r="13" spans="1:45" ht="27.75">
      <c r="A13" s="5">
        <v>9</v>
      </c>
      <c r="B13" s="6" t="s">
        <v>121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1</v>
      </c>
      <c r="J13" s="3">
        <v>0</v>
      </c>
      <c r="K13" s="3">
        <v>0</v>
      </c>
      <c r="L13" s="3">
        <v>0</v>
      </c>
      <c r="M13" s="3">
        <v>1</v>
      </c>
      <c r="N13" s="3">
        <v>0</v>
      </c>
      <c r="O13" s="3">
        <v>1</v>
      </c>
      <c r="P13" s="3">
        <v>0</v>
      </c>
      <c r="Q13" s="3">
        <v>0</v>
      </c>
      <c r="R13" s="3">
        <v>1</v>
      </c>
      <c r="S13" s="3">
        <v>0</v>
      </c>
      <c r="T13" s="3">
        <v>0</v>
      </c>
      <c r="U13" s="3">
        <v>0</v>
      </c>
      <c r="V13" s="3">
        <v>0</v>
      </c>
      <c r="W13" s="3">
        <v>1</v>
      </c>
      <c r="X13" s="3">
        <v>1</v>
      </c>
      <c r="Y13" s="3">
        <v>0</v>
      </c>
      <c r="Z13" s="9">
        <v>0</v>
      </c>
      <c r="AA13" s="9">
        <v>0</v>
      </c>
      <c r="AB13" s="9">
        <v>1</v>
      </c>
      <c r="AC13" s="9">
        <v>0</v>
      </c>
      <c r="AD13" s="9">
        <v>1</v>
      </c>
      <c r="AE13" s="9">
        <v>0</v>
      </c>
      <c r="AF13" s="9">
        <v>1</v>
      </c>
      <c r="AG13" s="9">
        <v>1</v>
      </c>
      <c r="AH13" s="9">
        <v>1</v>
      </c>
      <c r="AI13" s="26">
        <f t="shared" si="0"/>
        <v>11</v>
      </c>
      <c r="AJ13" s="14">
        <f t="shared" si="1"/>
        <v>1</v>
      </c>
      <c r="AK13" s="34">
        <f t="shared" si="2"/>
        <v>6</v>
      </c>
      <c r="AL13" s="10">
        <f t="shared" si="3"/>
        <v>4</v>
      </c>
    </row>
    <row r="14" spans="1:45" ht="27.75">
      <c r="A14" s="5">
        <v>10</v>
      </c>
      <c r="B14" s="6" t="s">
        <v>122</v>
      </c>
      <c r="C14" s="3">
        <v>0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1</v>
      </c>
      <c r="J14" s="3">
        <v>0</v>
      </c>
      <c r="K14" s="3">
        <v>0</v>
      </c>
      <c r="L14" s="3">
        <v>0</v>
      </c>
      <c r="M14" s="3">
        <v>1</v>
      </c>
      <c r="N14" s="3">
        <v>0</v>
      </c>
      <c r="O14" s="3">
        <v>1</v>
      </c>
      <c r="P14" s="3">
        <v>0</v>
      </c>
      <c r="Q14" s="3">
        <v>0</v>
      </c>
      <c r="R14" s="3">
        <v>1</v>
      </c>
      <c r="S14" s="3">
        <v>0</v>
      </c>
      <c r="T14" s="3">
        <v>0</v>
      </c>
      <c r="U14" s="3">
        <v>0</v>
      </c>
      <c r="V14" s="3">
        <v>1</v>
      </c>
      <c r="W14" s="3">
        <v>1</v>
      </c>
      <c r="X14" s="3">
        <v>0</v>
      </c>
      <c r="Y14" s="3">
        <v>0</v>
      </c>
      <c r="Z14" s="9">
        <v>1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26">
        <f t="shared" si="0"/>
        <v>9</v>
      </c>
      <c r="AJ14" s="14">
        <f t="shared" si="1"/>
        <v>2</v>
      </c>
      <c r="AK14" s="34">
        <f t="shared" si="2"/>
        <v>6</v>
      </c>
      <c r="AL14" s="10">
        <f t="shared" si="3"/>
        <v>1</v>
      </c>
    </row>
    <row r="15" spans="1:45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9"/>
      <c r="AA15" s="9"/>
      <c r="AB15" s="9"/>
      <c r="AC15" s="9"/>
      <c r="AD15" s="9"/>
      <c r="AE15" s="9"/>
      <c r="AF15" s="9"/>
      <c r="AG15" s="9"/>
      <c r="AH15" s="9"/>
      <c r="AI15" s="26">
        <f t="shared" si="0"/>
        <v>0</v>
      </c>
      <c r="AJ15" s="14">
        <f t="shared" si="1"/>
        <v>0</v>
      </c>
      <c r="AK15" s="34">
        <f t="shared" si="2"/>
        <v>0</v>
      </c>
      <c r="AL15" s="10">
        <f t="shared" si="3"/>
        <v>0</v>
      </c>
    </row>
    <row r="16" spans="1:45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9"/>
      <c r="AA16" s="9"/>
      <c r="AB16" s="9"/>
      <c r="AC16" s="9"/>
      <c r="AD16" s="9"/>
      <c r="AE16" s="9"/>
      <c r="AF16" s="9"/>
      <c r="AG16" s="9"/>
      <c r="AH16" s="9"/>
      <c r="AI16" s="26">
        <f t="shared" si="0"/>
        <v>0</v>
      </c>
      <c r="AJ16" s="14">
        <f t="shared" si="1"/>
        <v>0</v>
      </c>
      <c r="AK16" s="34">
        <f t="shared" si="2"/>
        <v>0</v>
      </c>
      <c r="AL16" s="10">
        <f t="shared" si="3"/>
        <v>0</v>
      </c>
    </row>
    <row r="17" spans="1:38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9"/>
      <c r="AA17" s="9"/>
      <c r="AB17" s="9"/>
      <c r="AC17" s="9"/>
      <c r="AD17" s="9"/>
      <c r="AE17" s="9"/>
      <c r="AF17" s="9"/>
      <c r="AG17" s="9"/>
      <c r="AH17" s="9"/>
      <c r="AI17" s="26">
        <f t="shared" si="0"/>
        <v>0</v>
      </c>
      <c r="AJ17" s="14">
        <f t="shared" si="1"/>
        <v>0</v>
      </c>
      <c r="AK17" s="34">
        <f t="shared" si="2"/>
        <v>0</v>
      </c>
      <c r="AL17" s="10">
        <f t="shared" si="3"/>
        <v>0</v>
      </c>
    </row>
    <row r="18" spans="1:38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9"/>
      <c r="AA18" s="9"/>
      <c r="AB18" s="9"/>
      <c r="AC18" s="9"/>
      <c r="AD18" s="9"/>
      <c r="AE18" s="9"/>
      <c r="AF18" s="9"/>
      <c r="AG18" s="9"/>
      <c r="AH18" s="9"/>
      <c r="AI18" s="26">
        <f t="shared" si="0"/>
        <v>0</v>
      </c>
      <c r="AJ18" s="14">
        <f t="shared" si="1"/>
        <v>0</v>
      </c>
      <c r="AK18" s="34">
        <f t="shared" si="2"/>
        <v>0</v>
      </c>
      <c r="AL18" s="10">
        <f t="shared" si="3"/>
        <v>0</v>
      </c>
    </row>
    <row r="19" spans="1:38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9"/>
      <c r="AA19" s="9"/>
      <c r="AB19" s="9"/>
      <c r="AC19" s="9"/>
      <c r="AD19" s="9"/>
      <c r="AE19" s="9"/>
      <c r="AF19" s="9"/>
      <c r="AG19" s="9"/>
      <c r="AH19" s="9"/>
      <c r="AI19" s="26">
        <f t="shared" si="0"/>
        <v>0</v>
      </c>
      <c r="AJ19" s="14">
        <f t="shared" si="1"/>
        <v>0</v>
      </c>
      <c r="AK19" s="34">
        <f t="shared" si="2"/>
        <v>0</v>
      </c>
      <c r="AL19" s="10">
        <f t="shared" si="3"/>
        <v>0</v>
      </c>
    </row>
    <row r="20" spans="1:38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9"/>
      <c r="AA20" s="9"/>
      <c r="AB20" s="9"/>
      <c r="AC20" s="9"/>
      <c r="AD20" s="9"/>
      <c r="AE20" s="9"/>
      <c r="AF20" s="9"/>
      <c r="AG20" s="9"/>
      <c r="AH20" s="9"/>
      <c r="AI20" s="26">
        <f t="shared" si="0"/>
        <v>0</v>
      </c>
      <c r="AJ20" s="14">
        <f t="shared" si="1"/>
        <v>0</v>
      </c>
      <c r="AK20" s="34">
        <f t="shared" si="2"/>
        <v>0</v>
      </c>
      <c r="AL20" s="10">
        <f t="shared" si="3"/>
        <v>0</v>
      </c>
    </row>
    <row r="21" spans="1:38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9"/>
      <c r="AA21" s="9"/>
      <c r="AB21" s="9"/>
      <c r="AC21" s="9"/>
      <c r="AD21" s="9"/>
      <c r="AE21" s="9"/>
      <c r="AF21" s="9"/>
      <c r="AG21" s="9"/>
      <c r="AH21" s="9"/>
      <c r="AI21" s="26">
        <f t="shared" si="0"/>
        <v>0</v>
      </c>
      <c r="AJ21" s="14">
        <f t="shared" si="1"/>
        <v>0</v>
      </c>
      <c r="AK21" s="34">
        <f t="shared" si="2"/>
        <v>0</v>
      </c>
      <c r="AL21" s="10">
        <f t="shared" si="3"/>
        <v>0</v>
      </c>
    </row>
    <row r="22" spans="1:38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9"/>
      <c r="AA22" s="9"/>
      <c r="AB22" s="9"/>
      <c r="AC22" s="9"/>
      <c r="AD22" s="9"/>
      <c r="AE22" s="9"/>
      <c r="AF22" s="9"/>
      <c r="AG22" s="9"/>
      <c r="AH22" s="9"/>
      <c r="AI22" s="26">
        <f t="shared" si="0"/>
        <v>0</v>
      </c>
      <c r="AJ22" s="14">
        <f t="shared" si="1"/>
        <v>0</v>
      </c>
      <c r="AK22" s="34">
        <f t="shared" si="2"/>
        <v>0</v>
      </c>
      <c r="AL22" s="10">
        <f t="shared" si="3"/>
        <v>0</v>
      </c>
    </row>
    <row r="23" spans="1:38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9"/>
      <c r="AA23" s="9"/>
      <c r="AB23" s="9"/>
      <c r="AC23" s="9"/>
      <c r="AD23" s="9"/>
      <c r="AE23" s="9"/>
      <c r="AF23" s="9"/>
      <c r="AG23" s="9"/>
      <c r="AH23" s="9"/>
      <c r="AI23" s="26">
        <f t="shared" si="0"/>
        <v>0</v>
      </c>
      <c r="AJ23" s="14">
        <f t="shared" si="1"/>
        <v>0</v>
      </c>
      <c r="AK23" s="34">
        <f t="shared" si="2"/>
        <v>0</v>
      </c>
      <c r="AL23" s="10">
        <f t="shared" si="3"/>
        <v>0</v>
      </c>
    </row>
    <row r="24" spans="1:38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9"/>
      <c r="AA24" s="9"/>
      <c r="AB24" s="9"/>
      <c r="AC24" s="9"/>
      <c r="AD24" s="9"/>
      <c r="AE24" s="9"/>
      <c r="AF24" s="9"/>
      <c r="AG24" s="9"/>
      <c r="AH24" s="9"/>
      <c r="AI24" s="26">
        <f t="shared" si="0"/>
        <v>0</v>
      </c>
      <c r="AJ24" s="14">
        <f t="shared" si="1"/>
        <v>0</v>
      </c>
      <c r="AK24" s="34">
        <f t="shared" si="2"/>
        <v>0</v>
      </c>
      <c r="AL24" s="10">
        <f t="shared" si="3"/>
        <v>0</v>
      </c>
    </row>
    <row r="25" spans="1:38" ht="28.5" thickBot="1">
      <c r="A25" s="77" t="s">
        <v>19</v>
      </c>
      <c r="B25" s="78"/>
      <c r="C25" s="4">
        <f>AVERAGE(C5:C24)</f>
        <v>0.44444444444444442</v>
      </c>
      <c r="D25" s="4">
        <f t="shared" ref="D25:AH25" si="4">AVERAGE(D5:D24)</f>
        <v>0.55555555555555558</v>
      </c>
      <c r="E25" s="4">
        <f t="shared" si="4"/>
        <v>0.44444444444444442</v>
      </c>
      <c r="F25" s="4">
        <f t="shared" si="4"/>
        <v>0.1111111111111111</v>
      </c>
      <c r="G25" s="4">
        <f t="shared" si="4"/>
        <v>1.7777777777777777</v>
      </c>
      <c r="H25" s="4"/>
      <c r="I25" s="4">
        <f t="shared" si="4"/>
        <v>0.88888888888888884</v>
      </c>
      <c r="J25" s="4">
        <f t="shared" si="4"/>
        <v>1.1111111111111112</v>
      </c>
      <c r="K25" s="4">
        <f t="shared" si="4"/>
        <v>0.77777777777777779</v>
      </c>
      <c r="L25" s="4">
        <f t="shared" si="4"/>
        <v>0.44444444444444442</v>
      </c>
      <c r="M25" s="4"/>
      <c r="N25" s="4">
        <f t="shared" si="4"/>
        <v>0.66666666666666663</v>
      </c>
      <c r="O25" s="4">
        <f t="shared" si="4"/>
        <v>0.88888888888888884</v>
      </c>
      <c r="P25" s="4"/>
      <c r="Q25" s="4">
        <f t="shared" si="4"/>
        <v>0.22222222222222221</v>
      </c>
      <c r="R25" s="4">
        <f t="shared" si="4"/>
        <v>0.88888888888888884</v>
      </c>
      <c r="S25" s="4">
        <f t="shared" si="4"/>
        <v>0.44444444444444442</v>
      </c>
      <c r="T25" s="4">
        <f t="shared" si="4"/>
        <v>0.66666666666666663</v>
      </c>
      <c r="U25" s="4">
        <f t="shared" si="4"/>
        <v>0</v>
      </c>
      <c r="V25" s="4">
        <f t="shared" si="4"/>
        <v>0.44444444444444442</v>
      </c>
      <c r="W25" s="4">
        <f t="shared" si="4"/>
        <v>1.2222222222222223</v>
      </c>
      <c r="X25" s="4">
        <f t="shared" si="4"/>
        <v>0.88888888888888884</v>
      </c>
      <c r="Y25" s="4">
        <f t="shared" si="4"/>
        <v>0.66666666666666663</v>
      </c>
      <c r="Z25" s="4">
        <f t="shared" si="4"/>
        <v>0.88888888888888884</v>
      </c>
      <c r="AA25" s="4">
        <f t="shared" si="4"/>
        <v>0.66666666666666663</v>
      </c>
      <c r="AB25" s="4">
        <f t="shared" si="4"/>
        <v>0.77777777777777779</v>
      </c>
      <c r="AC25" s="4">
        <f t="shared" si="4"/>
        <v>0</v>
      </c>
      <c r="AD25" s="4">
        <f t="shared" si="4"/>
        <v>0.77777777777777779</v>
      </c>
      <c r="AE25" s="4">
        <f t="shared" si="4"/>
        <v>0.1111111111111111</v>
      </c>
      <c r="AF25" s="4">
        <f t="shared" si="4"/>
        <v>0.77777777777777779</v>
      </c>
      <c r="AG25" s="4">
        <f t="shared" si="4"/>
        <v>0.66666666666666663</v>
      </c>
      <c r="AH25" s="4">
        <f t="shared" si="4"/>
        <v>0.33333333333333331</v>
      </c>
      <c r="AI25" s="26">
        <f>SUM(C25:AH25)</f>
        <v>18.555555555555557</v>
      </c>
      <c r="AJ25" s="19">
        <f>SUM(AJ5:AJ24)</f>
        <v>33</v>
      </c>
      <c r="AK25" s="19">
        <f>SUM(AK5:AK24)</f>
        <v>88</v>
      </c>
      <c r="AL25" s="19">
        <f>SUM(AL5:AL24)</f>
        <v>65</v>
      </c>
    </row>
    <row r="26" spans="1:38" ht="51.75" customHeight="1" thickTop="1" thickBot="1">
      <c r="A26" s="22"/>
      <c r="B26" s="23" t="s">
        <v>34</v>
      </c>
      <c r="C26" s="30">
        <f t="shared" ref="C26:AI26" si="5">C25/C4*100</f>
        <v>44.444444444444443</v>
      </c>
      <c r="D26" s="30">
        <f t="shared" si="5"/>
        <v>55.555555555555557</v>
      </c>
      <c r="E26" s="30">
        <f t="shared" si="5"/>
        <v>44.444444444444443</v>
      </c>
      <c r="F26" s="30">
        <f t="shared" si="5"/>
        <v>11.111111111111111</v>
      </c>
      <c r="G26" s="30">
        <f t="shared" si="5"/>
        <v>59.259259259259252</v>
      </c>
      <c r="H26" s="30"/>
      <c r="I26" s="30">
        <f t="shared" si="5"/>
        <v>88.888888888888886</v>
      </c>
      <c r="J26" s="30">
        <f t="shared" si="5"/>
        <v>55.555555555555557</v>
      </c>
      <c r="K26" s="30">
        <f t="shared" si="5"/>
        <v>77.777777777777786</v>
      </c>
      <c r="L26" s="30">
        <f t="shared" si="5"/>
        <v>44.444444444444443</v>
      </c>
      <c r="M26" s="30"/>
      <c r="N26" s="30">
        <f t="shared" si="5"/>
        <v>66.666666666666657</v>
      </c>
      <c r="O26" s="30">
        <f t="shared" si="5"/>
        <v>88.888888888888886</v>
      </c>
      <c r="P26" s="30"/>
      <c r="Q26" s="30">
        <f t="shared" si="5"/>
        <v>22.222222222222221</v>
      </c>
      <c r="R26" s="30">
        <f t="shared" si="5"/>
        <v>88.888888888888886</v>
      </c>
      <c r="S26" s="30">
        <f t="shared" si="5"/>
        <v>44.444444444444443</v>
      </c>
      <c r="T26" s="30">
        <f t="shared" si="5"/>
        <v>66.666666666666657</v>
      </c>
      <c r="U26" s="30">
        <f t="shared" si="5"/>
        <v>0</v>
      </c>
      <c r="V26" s="30">
        <f t="shared" si="5"/>
        <v>44.444444444444443</v>
      </c>
      <c r="W26" s="30">
        <f t="shared" si="5"/>
        <v>40.740740740740748</v>
      </c>
      <c r="X26" s="30">
        <f t="shared" si="5"/>
        <v>88.888888888888886</v>
      </c>
      <c r="Y26" s="30">
        <f t="shared" si="5"/>
        <v>66.666666666666657</v>
      </c>
      <c r="Z26" s="30">
        <f t="shared" si="5"/>
        <v>88.888888888888886</v>
      </c>
      <c r="AA26" s="30">
        <f t="shared" si="5"/>
        <v>33.333333333333329</v>
      </c>
      <c r="AB26" s="30">
        <f t="shared" si="5"/>
        <v>77.777777777777786</v>
      </c>
      <c r="AC26" s="30">
        <f t="shared" si="5"/>
        <v>0</v>
      </c>
      <c r="AD26" s="30">
        <f t="shared" si="5"/>
        <v>77.777777777777786</v>
      </c>
      <c r="AE26" s="30">
        <f t="shared" si="5"/>
        <v>11.111111111111111</v>
      </c>
      <c r="AF26" s="30">
        <f t="shared" si="5"/>
        <v>77.777777777777786</v>
      </c>
      <c r="AG26" s="30">
        <f t="shared" si="5"/>
        <v>66.666666666666657</v>
      </c>
      <c r="AH26" s="30">
        <f t="shared" si="5"/>
        <v>16.666666666666664</v>
      </c>
      <c r="AI26" s="30">
        <f t="shared" si="5"/>
        <v>46.388888888888893</v>
      </c>
      <c r="AJ26" s="19"/>
      <c r="AK26" s="19"/>
      <c r="AL26" s="19"/>
    </row>
    <row r="27" spans="1:38" ht="29.25" thickTop="1" thickBot="1">
      <c r="A27" s="79" t="s">
        <v>4</v>
      </c>
      <c r="B27" s="80"/>
      <c r="C27" s="30" t="str">
        <f>IF(C26&gt;70,"مستوى متميز",IF(C26&gt;60,"مستوى جيد",IF(C26&gt;50,"مستوى ملائم",IF(C26&gt;=40,"مستوى غير ملائم"," يحتاج الى تدخل سريع"))))</f>
        <v>مستوى غير ملائم</v>
      </c>
      <c r="D27" s="30" t="str">
        <f t="shared" ref="D27:AI27" si="6">IF(D26&gt;70,"مستوى متميز",IF(D26&gt;60,"مستوى جيد",IF(D26&gt;50,"مستوى ملائم",IF(D26&gt;=40,"مستوى غير ملائم"," يحتاج الى تدخل سريع"))))</f>
        <v>مستوى ملائم</v>
      </c>
      <c r="E27" s="30" t="str">
        <f t="shared" si="6"/>
        <v>مستوى غير ملائم</v>
      </c>
      <c r="F27" s="30" t="str">
        <f t="shared" si="6"/>
        <v xml:space="preserve"> يحتاج الى تدخل سريع</v>
      </c>
      <c r="G27" s="30" t="str">
        <f t="shared" si="6"/>
        <v>مستوى ملائم</v>
      </c>
      <c r="H27" s="30"/>
      <c r="I27" s="30" t="str">
        <f t="shared" si="6"/>
        <v>مستوى متميز</v>
      </c>
      <c r="J27" s="30" t="str">
        <f t="shared" si="6"/>
        <v>مستوى ملائم</v>
      </c>
      <c r="K27" s="30" t="str">
        <f t="shared" si="6"/>
        <v>مستوى متميز</v>
      </c>
      <c r="L27" s="30" t="str">
        <f t="shared" si="6"/>
        <v>مستوى غير ملائم</v>
      </c>
      <c r="M27" s="30"/>
      <c r="N27" s="30" t="str">
        <f t="shared" si="6"/>
        <v>مستوى جيد</v>
      </c>
      <c r="O27" s="30" t="str">
        <f t="shared" si="6"/>
        <v>مستوى متميز</v>
      </c>
      <c r="P27" s="30"/>
      <c r="Q27" s="30" t="str">
        <f t="shared" si="6"/>
        <v xml:space="preserve"> يحتاج الى تدخل سريع</v>
      </c>
      <c r="R27" s="30" t="str">
        <f t="shared" si="6"/>
        <v>مستوى متميز</v>
      </c>
      <c r="S27" s="30" t="str">
        <f t="shared" si="6"/>
        <v>مستوى غير ملائم</v>
      </c>
      <c r="T27" s="30" t="str">
        <f t="shared" si="6"/>
        <v>مستوى جيد</v>
      </c>
      <c r="U27" s="30" t="str">
        <f t="shared" si="6"/>
        <v xml:space="preserve"> يحتاج الى تدخل سريع</v>
      </c>
      <c r="V27" s="30" t="str">
        <f t="shared" si="6"/>
        <v>مستوى غير ملائم</v>
      </c>
      <c r="W27" s="30" t="str">
        <f t="shared" si="6"/>
        <v>مستوى غير ملائم</v>
      </c>
      <c r="X27" s="30" t="str">
        <f t="shared" si="6"/>
        <v>مستوى متميز</v>
      </c>
      <c r="Y27" s="30" t="str">
        <f t="shared" si="6"/>
        <v>مستوى جيد</v>
      </c>
      <c r="Z27" s="30" t="str">
        <f t="shared" si="6"/>
        <v>مستوى متميز</v>
      </c>
      <c r="AA27" s="30" t="str">
        <f t="shared" si="6"/>
        <v xml:space="preserve"> يحتاج الى تدخل سريع</v>
      </c>
      <c r="AB27" s="30" t="str">
        <f t="shared" si="6"/>
        <v>مستوى متميز</v>
      </c>
      <c r="AC27" s="30" t="str">
        <f t="shared" si="6"/>
        <v xml:space="preserve"> يحتاج الى تدخل سريع</v>
      </c>
      <c r="AD27" s="30" t="str">
        <f t="shared" si="6"/>
        <v>مستوى متميز</v>
      </c>
      <c r="AE27" s="30" t="str">
        <f t="shared" si="6"/>
        <v xml:space="preserve"> يحتاج الى تدخل سريع</v>
      </c>
      <c r="AF27" s="30" t="str">
        <f t="shared" si="6"/>
        <v>مستوى متميز</v>
      </c>
      <c r="AG27" s="30" t="str">
        <f t="shared" si="6"/>
        <v>مستوى جيد</v>
      </c>
      <c r="AH27" s="30" t="str">
        <f t="shared" si="6"/>
        <v xml:space="preserve"> يحتاج الى تدخل سريع</v>
      </c>
      <c r="AI27" s="30" t="str">
        <f t="shared" si="6"/>
        <v>مستوى غير ملائم</v>
      </c>
    </row>
    <row r="28" spans="1:38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H24">
    <cfRule type="cellIs" dxfId="27" priority="8" operator="between">
      <formula>1</formula>
      <formula>5</formula>
    </cfRule>
    <cfRule type="cellIs" dxfId="26" priority="9" operator="lessThan">
      <formula>1</formula>
    </cfRule>
    <cfRule type="containsText" dxfId="25" priority="10" operator="containsText" text="0">
      <formula>NOT(ISERROR(SEARCH("0",C5)))</formula>
    </cfRule>
    <cfRule type="containsText" dxfId="24" priority="11" operator="containsText" text="0">
      <formula>NOT(ISERROR(SEARCH("0",C5)))</formula>
    </cfRule>
    <cfRule type="containsText" dxfId="23" priority="12" operator="containsText" text="1">
      <formula>NOT(ISERROR(SEARCH("1",C5)))</formula>
    </cfRule>
    <cfRule type="containsText" dxfId="22" priority="13" operator="containsText" text="0">
      <formula>NOT(ISERROR(SEARCH("0",C5)))</formula>
    </cfRule>
  </conditionalFormatting>
  <conditionalFormatting sqref="C26:AI26">
    <cfRule type="cellIs" dxfId="21" priority="1" operator="between">
      <formula>40</formula>
      <formula>50</formula>
    </cfRule>
    <cfRule type="cellIs" dxfId="20" priority="3" operator="greaterThan">
      <formula>70</formula>
    </cfRule>
    <cfRule type="cellIs" dxfId="19" priority="4" operator="between">
      <formula>60</formula>
      <formula>70</formula>
    </cfRule>
    <cfRule type="cellIs" dxfId="18" priority="5" operator="lessThan">
      <formula>40</formula>
    </cfRule>
    <cfRule type="cellIs" dxfId="17" priority="6" operator="between">
      <formula>50</formula>
      <formula>60</formula>
    </cfRule>
  </conditionalFormatting>
  <conditionalFormatting sqref="C27:AI27">
    <cfRule type="cellIs" dxfId="16" priority="7" operator="between">
      <formula>70</formula>
      <formula>100</formula>
    </cfRule>
  </conditionalFormatting>
  <conditionalFormatting sqref="AP6:AS6">
    <cfRule type="expression" dxfId="15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BA58"/>
  <sheetViews>
    <sheetView rightToLeft="1" zoomScale="50" zoomScaleNormal="50" workbookViewId="0">
      <pane ySplit="4" topLeftCell="A5" activePane="bottomLeft" state="frozen"/>
      <selection activeCell="D1" sqref="D1"/>
      <selection pane="bottomLeft" activeCell="B5" sqref="B5"/>
    </sheetView>
  </sheetViews>
  <sheetFormatPr defaultRowHeight="14.25"/>
  <cols>
    <col min="1" max="1" width="4" style="2" customWidth="1"/>
    <col min="2" max="2" width="37.125" style="2" customWidth="1"/>
    <col min="3" max="3" width="18.625" customWidth="1"/>
    <col min="4" max="4" width="11.125" bestFit="1" customWidth="1"/>
    <col min="5" max="6" width="11.125" customWidth="1"/>
    <col min="7" max="8" width="14.625" customWidth="1"/>
    <col min="9" max="10" width="10.25" bestFit="1" customWidth="1"/>
    <col min="11" max="12" width="10.25" customWidth="1"/>
    <col min="13" max="15" width="10.25" bestFit="1" customWidth="1"/>
    <col min="16" max="18" width="10.25" customWidth="1"/>
    <col min="19" max="19" width="10.25" bestFit="1" customWidth="1"/>
    <col min="20" max="20" width="10.25" customWidth="1"/>
    <col min="21" max="24" width="10.25" bestFit="1" customWidth="1"/>
    <col min="25" max="25" width="10.25" customWidth="1"/>
    <col min="26" max="27" width="10.25" bestFit="1" customWidth="1"/>
    <col min="28" max="28" width="10.25" customWidth="1"/>
    <col min="29" max="42" width="10.25" bestFit="1" customWidth="1"/>
    <col min="43" max="43" width="13" customWidth="1"/>
    <col min="44" max="44" width="14.625" customWidth="1"/>
    <col min="45" max="45" width="20.125" customWidth="1"/>
    <col min="46" max="46" width="22.625" customWidth="1"/>
    <col min="47" max="47" width="14.875" customWidth="1"/>
    <col min="48" max="48" width="10.25" customWidth="1"/>
    <col min="49" max="49" width="16.75" customWidth="1"/>
    <col min="50" max="50" width="16" customWidth="1"/>
    <col min="51" max="51" width="15.25" customWidth="1"/>
    <col min="52" max="52" width="15.625" customWidth="1"/>
    <col min="53" max="53" width="16" customWidth="1"/>
  </cols>
  <sheetData>
    <row r="3" spans="1:53" ht="50.25" customHeight="1">
      <c r="A3" s="75" t="s">
        <v>2</v>
      </c>
      <c r="B3" s="21" t="s">
        <v>17</v>
      </c>
      <c r="C3" s="8">
        <v>1</v>
      </c>
      <c r="D3" s="8" t="s">
        <v>75</v>
      </c>
      <c r="E3" s="8" t="s">
        <v>76</v>
      </c>
      <c r="F3" s="8">
        <v>3</v>
      </c>
      <c r="G3" s="8">
        <v>4</v>
      </c>
      <c r="H3" s="8">
        <v>5</v>
      </c>
      <c r="I3" s="8" t="s">
        <v>85</v>
      </c>
      <c r="J3" s="8" t="s">
        <v>87</v>
      </c>
      <c r="K3" s="8" t="s">
        <v>88</v>
      </c>
      <c r="L3" s="8" t="s">
        <v>86</v>
      </c>
      <c r="M3" s="8">
        <v>8</v>
      </c>
      <c r="N3" s="8" t="s">
        <v>24</v>
      </c>
      <c r="O3" s="8" t="s">
        <v>25</v>
      </c>
      <c r="P3" s="8">
        <v>10</v>
      </c>
      <c r="Q3" s="8">
        <v>11</v>
      </c>
      <c r="R3" s="8">
        <v>12</v>
      </c>
      <c r="S3" s="8">
        <v>13</v>
      </c>
      <c r="T3" s="8">
        <v>14</v>
      </c>
      <c r="U3" s="8" t="s">
        <v>26</v>
      </c>
      <c r="V3" s="8" t="s">
        <v>27</v>
      </c>
      <c r="W3" s="8">
        <v>16</v>
      </c>
      <c r="X3" s="8">
        <v>17</v>
      </c>
      <c r="Y3" s="8">
        <v>18</v>
      </c>
      <c r="Z3" s="8">
        <v>19</v>
      </c>
      <c r="AA3" s="8">
        <v>20</v>
      </c>
      <c r="AB3" s="8">
        <v>21</v>
      </c>
      <c r="AC3" s="8" t="s">
        <v>89</v>
      </c>
      <c r="AD3" s="8" t="s">
        <v>90</v>
      </c>
      <c r="AE3" s="8">
        <v>23</v>
      </c>
      <c r="AF3" s="8">
        <v>24</v>
      </c>
      <c r="AG3" s="8">
        <v>25</v>
      </c>
      <c r="AH3" s="8">
        <v>26</v>
      </c>
      <c r="AI3" s="8" t="s">
        <v>91</v>
      </c>
      <c r="AJ3" s="8" t="s">
        <v>92</v>
      </c>
      <c r="AK3" s="8" t="s">
        <v>93</v>
      </c>
      <c r="AL3" s="8" t="s">
        <v>94</v>
      </c>
      <c r="AM3" s="8" t="s">
        <v>95</v>
      </c>
      <c r="AN3" s="8" t="s">
        <v>96</v>
      </c>
      <c r="AO3" s="8" t="s">
        <v>97</v>
      </c>
      <c r="AP3" s="8" t="s">
        <v>98</v>
      </c>
      <c r="AQ3" s="24" t="s">
        <v>29</v>
      </c>
      <c r="AR3" s="16" t="s">
        <v>10</v>
      </c>
      <c r="AS3" s="17" t="s">
        <v>9</v>
      </c>
      <c r="AT3" s="18" t="s">
        <v>8</v>
      </c>
      <c r="AU3" s="35" t="s">
        <v>99</v>
      </c>
    </row>
    <row r="4" spans="1:53" ht="69" customHeight="1">
      <c r="A4" s="76"/>
      <c r="B4" s="20" t="s">
        <v>18</v>
      </c>
      <c r="C4" s="10">
        <v>1</v>
      </c>
      <c r="D4" s="36">
        <v>1</v>
      </c>
      <c r="E4" s="36">
        <v>1</v>
      </c>
      <c r="F4" s="10">
        <v>1</v>
      </c>
      <c r="G4" s="14">
        <v>2</v>
      </c>
      <c r="H4" s="10">
        <v>1</v>
      </c>
      <c r="I4" s="11">
        <v>1</v>
      </c>
      <c r="J4" s="11">
        <v>1</v>
      </c>
      <c r="K4" s="10">
        <v>1</v>
      </c>
      <c r="L4" s="10">
        <v>1</v>
      </c>
      <c r="M4" s="10">
        <v>1</v>
      </c>
      <c r="N4" s="36">
        <v>1</v>
      </c>
      <c r="O4" s="36">
        <v>1</v>
      </c>
      <c r="P4" s="10">
        <v>3</v>
      </c>
      <c r="Q4" s="10">
        <v>2</v>
      </c>
      <c r="R4" s="10">
        <v>1</v>
      </c>
      <c r="S4" s="11">
        <v>2</v>
      </c>
      <c r="T4" s="10">
        <v>1</v>
      </c>
      <c r="U4" s="14">
        <v>2</v>
      </c>
      <c r="V4" s="11">
        <v>1</v>
      </c>
      <c r="W4" s="13">
        <v>1</v>
      </c>
      <c r="X4" s="13">
        <v>1</v>
      </c>
      <c r="Y4" s="12">
        <v>1</v>
      </c>
      <c r="Z4" s="13">
        <v>4</v>
      </c>
      <c r="AA4" s="12">
        <v>2</v>
      </c>
      <c r="AB4" s="15">
        <v>1</v>
      </c>
      <c r="AC4" s="37">
        <v>2</v>
      </c>
      <c r="AD4" s="13">
        <v>4</v>
      </c>
      <c r="AE4" s="15">
        <v>1</v>
      </c>
      <c r="AF4" s="12">
        <v>2</v>
      </c>
      <c r="AG4" s="12">
        <v>2</v>
      </c>
      <c r="AH4" s="13">
        <v>1</v>
      </c>
      <c r="AI4" s="15">
        <v>2</v>
      </c>
      <c r="AJ4" s="12">
        <v>2</v>
      </c>
      <c r="AK4" s="13">
        <v>3</v>
      </c>
      <c r="AL4" s="13">
        <v>1</v>
      </c>
      <c r="AM4" s="38">
        <v>1</v>
      </c>
      <c r="AN4" s="38">
        <v>1</v>
      </c>
      <c r="AO4" s="25">
        <v>1</v>
      </c>
      <c r="AP4" s="26">
        <v>1</v>
      </c>
      <c r="AQ4" s="26">
        <f>SUM(C4:AP4)</f>
        <v>60</v>
      </c>
      <c r="AR4" s="39">
        <f>AI4+AE4+AB4+U4+G4</f>
        <v>8</v>
      </c>
      <c r="AS4" s="40">
        <f>AO4+AL4+AK4+AH4+AD4+Z4+X4+W4+V4+S4+J4+I4</f>
        <v>21</v>
      </c>
      <c r="AT4" s="41">
        <f>AJ4+AG4+AF4+AA4+Y4+T4+R4+Q4+P4+M4+L4+K4+H4+F4+C4+AP4</f>
        <v>23</v>
      </c>
      <c r="AU4" s="42">
        <f>AN4+AM4+AC4+O4+N4+E4+D4</f>
        <v>8</v>
      </c>
      <c r="AW4" s="27" t="s">
        <v>39</v>
      </c>
      <c r="AX4" s="14" t="s">
        <v>40</v>
      </c>
      <c r="AY4" s="10" t="s">
        <v>41</v>
      </c>
      <c r="AZ4" s="28" t="s">
        <v>42</v>
      </c>
      <c r="BA4" s="11" t="s">
        <v>43</v>
      </c>
    </row>
    <row r="5" spans="1:53" ht="27.75">
      <c r="A5" s="5">
        <v>1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9"/>
      <c r="AH5" s="9"/>
      <c r="AI5" s="9"/>
      <c r="AJ5" s="9"/>
      <c r="AK5" s="9"/>
      <c r="AL5" s="9"/>
      <c r="AM5" s="9"/>
      <c r="AN5" s="9"/>
      <c r="AO5" s="9">
        <v>1</v>
      </c>
      <c r="AP5" s="9">
        <v>1</v>
      </c>
      <c r="AQ5" s="26">
        <f t="shared" ref="AQ5:AQ24" si="0">SUM(C5:AP5)</f>
        <v>2</v>
      </c>
      <c r="AR5" s="39">
        <f t="shared" ref="AR5:AR24" si="1">AI5+AE5+AB5+U5+G5</f>
        <v>0</v>
      </c>
      <c r="AS5" s="40">
        <f t="shared" ref="AS5:AS24" si="2">AO5+AL5+AK5+AH5+AD5+Z5+X5+W5+V5+S5+J5+I5</f>
        <v>1</v>
      </c>
      <c r="AT5" s="41">
        <f t="shared" ref="AT5:AT8" si="3">AJ5+AG5+AF5+AA5+Y5+T5+R5+Q5+P5+M5+L5+K5+H5+F5+C5+AP5</f>
        <v>1</v>
      </c>
      <c r="AU5" s="42">
        <f t="shared" ref="AU5:AU24" si="4">AN5+AM5+AC5+O5+N5+E5+D5</f>
        <v>0</v>
      </c>
      <c r="AW5" s="29" t="s">
        <v>44</v>
      </c>
      <c r="AX5" s="14" t="s">
        <v>45</v>
      </c>
      <c r="AY5" s="10" t="s">
        <v>46</v>
      </c>
      <c r="AZ5" s="28" t="s">
        <v>47</v>
      </c>
      <c r="BA5" s="11" t="s">
        <v>48</v>
      </c>
    </row>
    <row r="6" spans="1:53" ht="27.75">
      <c r="A6" s="5">
        <v>2</v>
      </c>
      <c r="B6" s="6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9"/>
      <c r="AH6" s="9"/>
      <c r="AI6" s="9"/>
      <c r="AJ6" s="9"/>
      <c r="AK6" s="9"/>
      <c r="AL6" s="9"/>
      <c r="AM6" s="9"/>
      <c r="AN6" s="9"/>
      <c r="AO6" s="9"/>
      <c r="AP6" s="9">
        <v>1</v>
      </c>
      <c r="AQ6" s="26">
        <f t="shared" si="0"/>
        <v>1</v>
      </c>
      <c r="AR6" s="39">
        <f t="shared" si="1"/>
        <v>0</v>
      </c>
      <c r="AS6" s="40">
        <f t="shared" si="2"/>
        <v>0</v>
      </c>
      <c r="AT6" s="41">
        <f t="shared" si="3"/>
        <v>1</v>
      </c>
      <c r="AU6" s="42">
        <f t="shared" si="4"/>
        <v>0</v>
      </c>
      <c r="AW6">
        <v>71</v>
      </c>
      <c r="AX6">
        <v>71</v>
      </c>
      <c r="AY6">
        <v>71</v>
      </c>
      <c r="AZ6">
        <v>71</v>
      </c>
      <c r="BA6">
        <v>71</v>
      </c>
    </row>
    <row r="7" spans="1:53" ht="27.75">
      <c r="A7" s="5">
        <v>3</v>
      </c>
      <c r="B7" s="6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9"/>
      <c r="AH7" s="9"/>
      <c r="AI7" s="9"/>
      <c r="AJ7" s="9"/>
      <c r="AK7" s="9"/>
      <c r="AL7" s="9"/>
      <c r="AM7" s="9"/>
      <c r="AN7" s="9"/>
      <c r="AO7" s="9"/>
      <c r="AP7" s="9">
        <v>1</v>
      </c>
      <c r="AQ7" s="26">
        <f t="shared" si="0"/>
        <v>1</v>
      </c>
      <c r="AR7" s="39">
        <f t="shared" si="1"/>
        <v>0</v>
      </c>
      <c r="AS7" s="40">
        <f t="shared" si="2"/>
        <v>0</v>
      </c>
      <c r="AT7" s="41">
        <f t="shared" si="3"/>
        <v>1</v>
      </c>
      <c r="AU7" s="42">
        <f t="shared" si="4"/>
        <v>0</v>
      </c>
    </row>
    <row r="8" spans="1:53" ht="27.75">
      <c r="A8" s="5">
        <v>4</v>
      </c>
      <c r="B8" s="6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9"/>
      <c r="AH8" s="9"/>
      <c r="AI8" s="9"/>
      <c r="AJ8" s="9"/>
      <c r="AK8" s="9"/>
      <c r="AL8" s="9"/>
      <c r="AM8" s="9"/>
      <c r="AN8" s="9"/>
      <c r="AO8" s="9"/>
      <c r="AP8" s="9">
        <v>2</v>
      </c>
      <c r="AQ8" s="26">
        <f t="shared" si="0"/>
        <v>2</v>
      </c>
      <c r="AR8" s="39">
        <f t="shared" si="1"/>
        <v>0</v>
      </c>
      <c r="AS8" s="40">
        <f t="shared" si="2"/>
        <v>0</v>
      </c>
      <c r="AT8" s="41">
        <f t="shared" si="3"/>
        <v>2</v>
      </c>
      <c r="AU8" s="42">
        <f t="shared" si="4"/>
        <v>0</v>
      </c>
    </row>
    <row r="9" spans="1:53" ht="27.75">
      <c r="A9" s="5">
        <v>5</v>
      </c>
      <c r="B9" s="6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9"/>
      <c r="AH9" s="9"/>
      <c r="AI9" s="9"/>
      <c r="AJ9" s="9"/>
      <c r="AK9" s="9"/>
      <c r="AL9" s="9"/>
      <c r="AM9" s="9"/>
      <c r="AN9" s="9"/>
      <c r="AO9" s="9"/>
      <c r="AP9" s="9"/>
      <c r="AQ9" s="26">
        <f t="shared" si="0"/>
        <v>0</v>
      </c>
      <c r="AR9" s="39">
        <f t="shared" si="1"/>
        <v>0</v>
      </c>
      <c r="AS9" s="40">
        <f t="shared" si="2"/>
        <v>0</v>
      </c>
      <c r="AT9" s="41">
        <f t="shared" ref="AT9" si="5">AP9+AJ9+AG9+AF9+AA9+Y9+T9+R9+Q9+P9+M9+AG29+L9+K9+H9+F9+C9</f>
        <v>0</v>
      </c>
      <c r="AU9" s="42">
        <f t="shared" si="4"/>
        <v>0</v>
      </c>
    </row>
    <row r="10" spans="1:53" ht="27.75">
      <c r="A10" s="5">
        <v>6</v>
      </c>
      <c r="B10" s="6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26">
        <f t="shared" si="0"/>
        <v>0</v>
      </c>
      <c r="AR10" s="39">
        <f t="shared" si="1"/>
        <v>0</v>
      </c>
      <c r="AS10" s="40">
        <f t="shared" si="2"/>
        <v>0</v>
      </c>
      <c r="AT10" s="41">
        <f t="shared" ref="AT10:AT24" si="6">AP10+AJ10+AG10+AF10+AA10+Y10+T10+R10+Q10+P10+M10+AG30+L10+K10+H10+F10+C10</f>
        <v>0</v>
      </c>
      <c r="AU10" s="42">
        <f t="shared" si="4"/>
        <v>0</v>
      </c>
    </row>
    <row r="11" spans="1:53" ht="27.75">
      <c r="A11" s="5">
        <v>7</v>
      </c>
      <c r="B11" s="6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26">
        <f t="shared" si="0"/>
        <v>0</v>
      </c>
      <c r="AR11" s="39">
        <f t="shared" si="1"/>
        <v>0</v>
      </c>
      <c r="AS11" s="40">
        <f t="shared" si="2"/>
        <v>0</v>
      </c>
      <c r="AT11" s="41">
        <f t="shared" si="6"/>
        <v>0</v>
      </c>
      <c r="AU11" s="42">
        <f t="shared" si="4"/>
        <v>0</v>
      </c>
    </row>
    <row r="12" spans="1:53" ht="27.75">
      <c r="A12" s="5">
        <v>8</v>
      </c>
      <c r="B12" s="6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26">
        <f t="shared" si="0"/>
        <v>0</v>
      </c>
      <c r="AR12" s="39">
        <f t="shared" si="1"/>
        <v>0</v>
      </c>
      <c r="AS12" s="40">
        <f t="shared" si="2"/>
        <v>0</v>
      </c>
      <c r="AT12" s="41">
        <f t="shared" si="6"/>
        <v>0</v>
      </c>
      <c r="AU12" s="42">
        <f t="shared" si="4"/>
        <v>0</v>
      </c>
    </row>
    <row r="13" spans="1:53" ht="27.75">
      <c r="A13" s="5">
        <v>9</v>
      </c>
      <c r="B13" s="6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26">
        <f t="shared" si="0"/>
        <v>0</v>
      </c>
      <c r="AR13" s="39">
        <f t="shared" si="1"/>
        <v>0</v>
      </c>
      <c r="AS13" s="40">
        <f t="shared" si="2"/>
        <v>0</v>
      </c>
      <c r="AT13" s="41">
        <f t="shared" si="6"/>
        <v>0</v>
      </c>
      <c r="AU13" s="42">
        <f t="shared" si="4"/>
        <v>0</v>
      </c>
    </row>
    <row r="14" spans="1:53" ht="27.75">
      <c r="A14" s="5">
        <v>10</v>
      </c>
      <c r="B14" s="6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26">
        <f t="shared" si="0"/>
        <v>0</v>
      </c>
      <c r="AR14" s="39">
        <f t="shared" si="1"/>
        <v>0</v>
      </c>
      <c r="AS14" s="40">
        <f t="shared" si="2"/>
        <v>0</v>
      </c>
      <c r="AT14" s="41">
        <f t="shared" si="6"/>
        <v>0</v>
      </c>
      <c r="AU14" s="42">
        <f t="shared" si="4"/>
        <v>0</v>
      </c>
    </row>
    <row r="15" spans="1:53" ht="27.75">
      <c r="A15" s="5">
        <v>11</v>
      </c>
      <c r="B15" s="6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26">
        <f t="shared" si="0"/>
        <v>0</v>
      </c>
      <c r="AR15" s="39">
        <f t="shared" si="1"/>
        <v>0</v>
      </c>
      <c r="AS15" s="40">
        <f t="shared" si="2"/>
        <v>0</v>
      </c>
      <c r="AT15" s="41">
        <f t="shared" si="6"/>
        <v>0</v>
      </c>
      <c r="AU15" s="42">
        <f t="shared" si="4"/>
        <v>0</v>
      </c>
    </row>
    <row r="16" spans="1:53" ht="27.75">
      <c r="A16" s="5">
        <v>12</v>
      </c>
      <c r="B16" s="6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26">
        <f t="shared" si="0"/>
        <v>0</v>
      </c>
      <c r="AR16" s="39">
        <f t="shared" si="1"/>
        <v>0</v>
      </c>
      <c r="AS16" s="40">
        <f t="shared" si="2"/>
        <v>0</v>
      </c>
      <c r="AT16" s="41">
        <f t="shared" si="6"/>
        <v>0</v>
      </c>
      <c r="AU16" s="42">
        <f t="shared" si="4"/>
        <v>0</v>
      </c>
    </row>
    <row r="17" spans="1:47" ht="27.75">
      <c r="A17" s="5">
        <v>13</v>
      </c>
      <c r="B17" s="6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26">
        <f t="shared" si="0"/>
        <v>0</v>
      </c>
      <c r="AR17" s="39">
        <f t="shared" si="1"/>
        <v>0</v>
      </c>
      <c r="AS17" s="40">
        <f t="shared" si="2"/>
        <v>0</v>
      </c>
      <c r="AT17" s="41">
        <f t="shared" si="6"/>
        <v>0</v>
      </c>
      <c r="AU17" s="42">
        <f t="shared" si="4"/>
        <v>0</v>
      </c>
    </row>
    <row r="18" spans="1:47" ht="27.75">
      <c r="A18" s="5">
        <v>14</v>
      </c>
      <c r="B18" s="6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26">
        <f t="shared" si="0"/>
        <v>0</v>
      </c>
      <c r="AR18" s="39">
        <f t="shared" si="1"/>
        <v>0</v>
      </c>
      <c r="AS18" s="40">
        <f t="shared" si="2"/>
        <v>0</v>
      </c>
      <c r="AT18" s="41">
        <f t="shared" si="6"/>
        <v>0</v>
      </c>
      <c r="AU18" s="42">
        <f t="shared" si="4"/>
        <v>0</v>
      </c>
    </row>
    <row r="19" spans="1:47" ht="27.75">
      <c r="A19" s="5">
        <v>15</v>
      </c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26">
        <f t="shared" si="0"/>
        <v>0</v>
      </c>
      <c r="AR19" s="39">
        <f t="shared" si="1"/>
        <v>0</v>
      </c>
      <c r="AS19" s="40">
        <f t="shared" si="2"/>
        <v>0</v>
      </c>
      <c r="AT19" s="41">
        <f t="shared" si="6"/>
        <v>0</v>
      </c>
      <c r="AU19" s="42">
        <f t="shared" si="4"/>
        <v>0</v>
      </c>
    </row>
    <row r="20" spans="1:47" ht="27.75">
      <c r="A20" s="5">
        <v>16</v>
      </c>
      <c r="B20" s="6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26">
        <f t="shared" si="0"/>
        <v>0</v>
      </c>
      <c r="AR20" s="39">
        <f t="shared" si="1"/>
        <v>0</v>
      </c>
      <c r="AS20" s="40">
        <f t="shared" si="2"/>
        <v>0</v>
      </c>
      <c r="AT20" s="41">
        <f t="shared" si="6"/>
        <v>0</v>
      </c>
      <c r="AU20" s="42">
        <f t="shared" si="4"/>
        <v>0</v>
      </c>
    </row>
    <row r="21" spans="1:47" ht="27.75">
      <c r="A21" s="5">
        <v>17</v>
      </c>
      <c r="B21" s="6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26">
        <f t="shared" si="0"/>
        <v>0</v>
      </c>
      <c r="AR21" s="39">
        <f t="shared" si="1"/>
        <v>0</v>
      </c>
      <c r="AS21" s="40">
        <f t="shared" si="2"/>
        <v>0</v>
      </c>
      <c r="AT21" s="41">
        <f t="shared" si="6"/>
        <v>0</v>
      </c>
      <c r="AU21" s="42">
        <f t="shared" si="4"/>
        <v>0</v>
      </c>
    </row>
    <row r="22" spans="1:47" ht="27.75">
      <c r="A22" s="5">
        <v>18</v>
      </c>
      <c r="B22" s="6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26">
        <f t="shared" si="0"/>
        <v>0</v>
      </c>
      <c r="AR22" s="39">
        <f t="shared" si="1"/>
        <v>0</v>
      </c>
      <c r="AS22" s="40">
        <f t="shared" si="2"/>
        <v>0</v>
      </c>
      <c r="AT22" s="41">
        <f t="shared" si="6"/>
        <v>0</v>
      </c>
      <c r="AU22" s="42">
        <f t="shared" si="4"/>
        <v>0</v>
      </c>
    </row>
    <row r="23" spans="1:47" ht="27.75">
      <c r="A23" s="5">
        <v>19</v>
      </c>
      <c r="B23" s="6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26">
        <f t="shared" si="0"/>
        <v>0</v>
      </c>
      <c r="AR23" s="39">
        <f t="shared" si="1"/>
        <v>0</v>
      </c>
      <c r="AS23" s="40">
        <f t="shared" si="2"/>
        <v>0</v>
      </c>
      <c r="AT23" s="41">
        <f t="shared" si="6"/>
        <v>0</v>
      </c>
      <c r="AU23" s="42">
        <f t="shared" si="4"/>
        <v>0</v>
      </c>
    </row>
    <row r="24" spans="1:47" ht="27.75">
      <c r="A24" s="5">
        <v>20</v>
      </c>
      <c r="B24" s="6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26">
        <f t="shared" si="0"/>
        <v>0</v>
      </c>
      <c r="AR24" s="39">
        <f t="shared" si="1"/>
        <v>0</v>
      </c>
      <c r="AS24" s="40">
        <f t="shared" si="2"/>
        <v>0</v>
      </c>
      <c r="AT24" s="41">
        <f t="shared" si="6"/>
        <v>0</v>
      </c>
      <c r="AU24" s="42">
        <f t="shared" si="4"/>
        <v>0</v>
      </c>
    </row>
    <row r="25" spans="1:47" ht="28.5" thickBot="1">
      <c r="A25" s="77" t="s">
        <v>19</v>
      </c>
      <c r="B25" s="78"/>
      <c r="C25" s="4" t="e">
        <f>AVERAGE(C5:C24)</f>
        <v>#DIV/0!</v>
      </c>
      <c r="D25" s="4" t="e">
        <f t="shared" ref="D25:AQ25" si="7">AVERAGE(D5:D24)</f>
        <v>#DIV/0!</v>
      </c>
      <c r="E25" s="4" t="e">
        <f t="shared" si="7"/>
        <v>#DIV/0!</v>
      </c>
      <c r="F25" s="4" t="e">
        <f t="shared" si="7"/>
        <v>#DIV/0!</v>
      </c>
      <c r="G25" s="4" t="e">
        <f t="shared" si="7"/>
        <v>#DIV/0!</v>
      </c>
      <c r="H25" s="4" t="e">
        <f t="shared" si="7"/>
        <v>#DIV/0!</v>
      </c>
      <c r="I25" s="4" t="e">
        <f t="shared" si="7"/>
        <v>#DIV/0!</v>
      </c>
      <c r="J25" s="4" t="e">
        <f t="shared" si="7"/>
        <v>#DIV/0!</v>
      </c>
      <c r="K25" s="4" t="e">
        <f t="shared" si="7"/>
        <v>#DIV/0!</v>
      </c>
      <c r="L25" s="4" t="e">
        <f t="shared" si="7"/>
        <v>#DIV/0!</v>
      </c>
      <c r="M25" s="4" t="e">
        <f t="shared" si="7"/>
        <v>#DIV/0!</v>
      </c>
      <c r="N25" s="4" t="e">
        <f t="shared" si="7"/>
        <v>#DIV/0!</v>
      </c>
      <c r="O25" s="4" t="e">
        <f t="shared" si="7"/>
        <v>#DIV/0!</v>
      </c>
      <c r="P25" s="4" t="e">
        <f t="shared" si="7"/>
        <v>#DIV/0!</v>
      </c>
      <c r="Q25" s="4" t="e">
        <f t="shared" si="7"/>
        <v>#DIV/0!</v>
      </c>
      <c r="R25" s="4" t="e">
        <f t="shared" si="7"/>
        <v>#DIV/0!</v>
      </c>
      <c r="S25" s="4" t="e">
        <f t="shared" si="7"/>
        <v>#DIV/0!</v>
      </c>
      <c r="T25" s="4" t="e">
        <f t="shared" si="7"/>
        <v>#DIV/0!</v>
      </c>
      <c r="U25" s="4" t="e">
        <f t="shared" si="7"/>
        <v>#DIV/0!</v>
      </c>
      <c r="V25" s="4" t="e">
        <f t="shared" si="7"/>
        <v>#DIV/0!</v>
      </c>
      <c r="W25" s="4" t="e">
        <f t="shared" si="7"/>
        <v>#DIV/0!</v>
      </c>
      <c r="X25" s="4" t="e">
        <f t="shared" si="7"/>
        <v>#DIV/0!</v>
      </c>
      <c r="Y25" s="4" t="e">
        <f t="shared" si="7"/>
        <v>#DIV/0!</v>
      </c>
      <c r="Z25" s="4" t="e">
        <f t="shared" si="7"/>
        <v>#DIV/0!</v>
      </c>
      <c r="AA25" s="4" t="e">
        <f t="shared" si="7"/>
        <v>#DIV/0!</v>
      </c>
      <c r="AB25" s="4" t="e">
        <f t="shared" si="7"/>
        <v>#DIV/0!</v>
      </c>
      <c r="AC25" s="4" t="e">
        <f t="shared" si="7"/>
        <v>#DIV/0!</v>
      </c>
      <c r="AD25" s="4" t="e">
        <f t="shared" si="7"/>
        <v>#DIV/0!</v>
      </c>
      <c r="AE25" s="4" t="e">
        <f t="shared" si="7"/>
        <v>#DIV/0!</v>
      </c>
      <c r="AF25" s="4" t="e">
        <f t="shared" si="7"/>
        <v>#DIV/0!</v>
      </c>
      <c r="AG25" s="4" t="e">
        <f t="shared" si="7"/>
        <v>#DIV/0!</v>
      </c>
      <c r="AH25" s="4" t="e">
        <f t="shared" si="7"/>
        <v>#DIV/0!</v>
      </c>
      <c r="AI25" s="4" t="e">
        <f t="shared" si="7"/>
        <v>#DIV/0!</v>
      </c>
      <c r="AJ25" s="4" t="e">
        <f t="shared" si="7"/>
        <v>#DIV/0!</v>
      </c>
      <c r="AK25" s="4" t="e">
        <f t="shared" si="7"/>
        <v>#DIV/0!</v>
      </c>
      <c r="AL25" s="4" t="e">
        <f t="shared" si="7"/>
        <v>#DIV/0!</v>
      </c>
      <c r="AM25" s="4" t="e">
        <f t="shared" si="7"/>
        <v>#DIV/0!</v>
      </c>
      <c r="AN25" s="4" t="e">
        <f t="shared" si="7"/>
        <v>#DIV/0!</v>
      </c>
      <c r="AO25" s="4">
        <f t="shared" si="7"/>
        <v>1</v>
      </c>
      <c r="AP25" s="4">
        <f t="shared" si="7"/>
        <v>1.25</v>
      </c>
      <c r="AQ25" s="4">
        <f t="shared" si="7"/>
        <v>0.3</v>
      </c>
      <c r="AR25" s="26" t="e">
        <f>SUM(D25:AQ25)</f>
        <v>#DIV/0!</v>
      </c>
      <c r="AS25" s="19">
        <f>SUM(AS5:AS24)</f>
        <v>1</v>
      </c>
      <c r="AT25" s="19">
        <f>SUM(AT5:AT24)</f>
        <v>5</v>
      </c>
    </row>
    <row r="26" spans="1:47" ht="51.75" customHeight="1" thickTop="1" thickBot="1">
      <c r="A26" s="22"/>
      <c r="B26" s="23" t="s">
        <v>34</v>
      </c>
      <c r="C26" s="30" t="e">
        <f t="shared" ref="C26:AR26" si="8">C25/C4*100</f>
        <v>#DIV/0!</v>
      </c>
      <c r="D26" s="30" t="e">
        <f t="shared" si="8"/>
        <v>#DIV/0!</v>
      </c>
      <c r="E26" s="30" t="e">
        <f t="shared" si="8"/>
        <v>#DIV/0!</v>
      </c>
      <c r="F26" s="30" t="e">
        <f t="shared" si="8"/>
        <v>#DIV/0!</v>
      </c>
      <c r="G26" s="30" t="e">
        <f t="shared" si="8"/>
        <v>#DIV/0!</v>
      </c>
      <c r="H26" s="30" t="e">
        <f t="shared" si="8"/>
        <v>#DIV/0!</v>
      </c>
      <c r="I26" s="30" t="e">
        <f t="shared" si="8"/>
        <v>#DIV/0!</v>
      </c>
      <c r="J26" s="30" t="e">
        <f t="shared" si="8"/>
        <v>#DIV/0!</v>
      </c>
      <c r="K26" s="30" t="e">
        <f t="shared" si="8"/>
        <v>#DIV/0!</v>
      </c>
      <c r="L26" s="30" t="e">
        <f t="shared" si="8"/>
        <v>#DIV/0!</v>
      </c>
      <c r="M26" s="30" t="e">
        <f t="shared" si="8"/>
        <v>#DIV/0!</v>
      </c>
      <c r="N26" s="30" t="e">
        <f t="shared" si="8"/>
        <v>#DIV/0!</v>
      </c>
      <c r="O26" s="30" t="e">
        <f t="shared" si="8"/>
        <v>#DIV/0!</v>
      </c>
      <c r="P26" s="30" t="e">
        <f t="shared" si="8"/>
        <v>#DIV/0!</v>
      </c>
      <c r="Q26" s="30" t="e">
        <f t="shared" si="8"/>
        <v>#DIV/0!</v>
      </c>
      <c r="R26" s="30" t="e">
        <f t="shared" si="8"/>
        <v>#DIV/0!</v>
      </c>
      <c r="S26" s="30" t="e">
        <f t="shared" si="8"/>
        <v>#DIV/0!</v>
      </c>
      <c r="T26" s="30" t="e">
        <f t="shared" si="8"/>
        <v>#DIV/0!</v>
      </c>
      <c r="U26" s="30" t="e">
        <f t="shared" si="8"/>
        <v>#DIV/0!</v>
      </c>
      <c r="V26" s="30" t="e">
        <f t="shared" si="8"/>
        <v>#DIV/0!</v>
      </c>
      <c r="W26" s="30" t="e">
        <f t="shared" si="8"/>
        <v>#DIV/0!</v>
      </c>
      <c r="X26" s="30" t="e">
        <f t="shared" si="8"/>
        <v>#DIV/0!</v>
      </c>
      <c r="Y26" s="30" t="e">
        <f t="shared" si="8"/>
        <v>#DIV/0!</v>
      </c>
      <c r="Z26" s="30" t="e">
        <f t="shared" si="8"/>
        <v>#DIV/0!</v>
      </c>
      <c r="AA26" s="30" t="e">
        <f t="shared" si="8"/>
        <v>#DIV/0!</v>
      </c>
      <c r="AB26" s="30" t="e">
        <f t="shared" si="8"/>
        <v>#DIV/0!</v>
      </c>
      <c r="AC26" s="30" t="e">
        <f t="shared" si="8"/>
        <v>#DIV/0!</v>
      </c>
      <c r="AD26" s="30" t="e">
        <f t="shared" si="8"/>
        <v>#DIV/0!</v>
      </c>
      <c r="AE26" s="30" t="e">
        <f t="shared" si="8"/>
        <v>#DIV/0!</v>
      </c>
      <c r="AF26" s="30" t="e">
        <f t="shared" si="8"/>
        <v>#DIV/0!</v>
      </c>
      <c r="AG26" s="30" t="e">
        <f t="shared" si="8"/>
        <v>#DIV/0!</v>
      </c>
      <c r="AH26" s="30" t="e">
        <f t="shared" si="8"/>
        <v>#DIV/0!</v>
      </c>
      <c r="AI26" s="30" t="e">
        <f t="shared" si="8"/>
        <v>#DIV/0!</v>
      </c>
      <c r="AJ26" s="30" t="e">
        <f t="shared" si="8"/>
        <v>#DIV/0!</v>
      </c>
      <c r="AK26" s="30" t="e">
        <f t="shared" si="8"/>
        <v>#DIV/0!</v>
      </c>
      <c r="AL26" s="30" t="e">
        <f t="shared" si="8"/>
        <v>#DIV/0!</v>
      </c>
      <c r="AM26" s="30" t="e">
        <f t="shared" si="8"/>
        <v>#DIV/0!</v>
      </c>
      <c r="AN26" s="30" t="e">
        <f t="shared" si="8"/>
        <v>#DIV/0!</v>
      </c>
      <c r="AO26" s="30">
        <f t="shared" si="8"/>
        <v>100</v>
      </c>
      <c r="AP26" s="30">
        <f t="shared" si="8"/>
        <v>125</v>
      </c>
      <c r="AQ26" s="30">
        <f t="shared" si="8"/>
        <v>0.5</v>
      </c>
      <c r="AR26" s="30" t="e">
        <f t="shared" si="8"/>
        <v>#DIV/0!</v>
      </c>
      <c r="AS26" s="19"/>
      <c r="AT26" s="19"/>
    </row>
    <row r="27" spans="1:47" ht="29.25" thickTop="1" thickBot="1">
      <c r="A27" s="79" t="s">
        <v>4</v>
      </c>
      <c r="B27" s="80"/>
      <c r="C27" s="30" t="e">
        <f>IF(C26&gt;70,"مستوى متميز",IF(C26&gt;60,"مستوى جيد",IF(C26&gt;50,"مستوى ملائم",IF(C26&gt;=40,"مستوى غير ملائم"," يحتاج الى تدخل سريع"))))</f>
        <v>#DIV/0!</v>
      </c>
      <c r="D27" s="30" t="e">
        <f t="shared" ref="D27:AR27" si="9">IF(D26&gt;70,"مستوى متميز",IF(D26&gt;60,"مستوى جيد",IF(D26&gt;50,"مستوى ملائم",IF(D26&gt;=40,"مستوى غير ملائم"," يحتاج الى تدخل سريع"))))</f>
        <v>#DIV/0!</v>
      </c>
      <c r="E27" s="30" t="e">
        <f t="shared" si="9"/>
        <v>#DIV/0!</v>
      </c>
      <c r="F27" s="30" t="e">
        <f t="shared" si="9"/>
        <v>#DIV/0!</v>
      </c>
      <c r="G27" s="30" t="e">
        <f t="shared" si="9"/>
        <v>#DIV/0!</v>
      </c>
      <c r="H27" s="30" t="e">
        <f t="shared" si="9"/>
        <v>#DIV/0!</v>
      </c>
      <c r="I27" s="30" t="e">
        <f t="shared" si="9"/>
        <v>#DIV/0!</v>
      </c>
      <c r="J27" s="30" t="e">
        <f t="shared" si="9"/>
        <v>#DIV/0!</v>
      </c>
      <c r="K27" s="30" t="e">
        <f t="shared" si="9"/>
        <v>#DIV/0!</v>
      </c>
      <c r="L27" s="30" t="e">
        <f t="shared" si="9"/>
        <v>#DIV/0!</v>
      </c>
      <c r="M27" s="30" t="e">
        <f t="shared" si="9"/>
        <v>#DIV/0!</v>
      </c>
      <c r="N27" s="30" t="e">
        <f t="shared" si="9"/>
        <v>#DIV/0!</v>
      </c>
      <c r="O27" s="30" t="e">
        <f t="shared" si="9"/>
        <v>#DIV/0!</v>
      </c>
      <c r="P27" s="30" t="e">
        <f t="shared" si="9"/>
        <v>#DIV/0!</v>
      </c>
      <c r="Q27" s="30" t="e">
        <f t="shared" si="9"/>
        <v>#DIV/0!</v>
      </c>
      <c r="R27" s="30" t="e">
        <f t="shared" si="9"/>
        <v>#DIV/0!</v>
      </c>
      <c r="S27" s="30" t="e">
        <f t="shared" si="9"/>
        <v>#DIV/0!</v>
      </c>
      <c r="T27" s="30" t="e">
        <f t="shared" si="9"/>
        <v>#DIV/0!</v>
      </c>
      <c r="U27" s="30" t="e">
        <f t="shared" si="9"/>
        <v>#DIV/0!</v>
      </c>
      <c r="V27" s="30" t="e">
        <f t="shared" si="9"/>
        <v>#DIV/0!</v>
      </c>
      <c r="W27" s="30" t="e">
        <f t="shared" si="9"/>
        <v>#DIV/0!</v>
      </c>
      <c r="X27" s="30" t="e">
        <f t="shared" si="9"/>
        <v>#DIV/0!</v>
      </c>
      <c r="Y27" s="30" t="e">
        <f t="shared" si="9"/>
        <v>#DIV/0!</v>
      </c>
      <c r="Z27" s="30" t="e">
        <f t="shared" si="9"/>
        <v>#DIV/0!</v>
      </c>
      <c r="AA27" s="30" t="e">
        <f t="shared" si="9"/>
        <v>#DIV/0!</v>
      </c>
      <c r="AB27" s="30" t="e">
        <f t="shared" si="9"/>
        <v>#DIV/0!</v>
      </c>
      <c r="AC27" s="30" t="e">
        <f t="shared" si="9"/>
        <v>#DIV/0!</v>
      </c>
      <c r="AD27" s="30" t="e">
        <f t="shared" si="9"/>
        <v>#DIV/0!</v>
      </c>
      <c r="AE27" s="30" t="e">
        <f t="shared" si="9"/>
        <v>#DIV/0!</v>
      </c>
      <c r="AF27" s="30" t="e">
        <f t="shared" si="9"/>
        <v>#DIV/0!</v>
      </c>
      <c r="AG27" s="30" t="e">
        <f t="shared" si="9"/>
        <v>#DIV/0!</v>
      </c>
      <c r="AH27" s="30" t="e">
        <f t="shared" si="9"/>
        <v>#DIV/0!</v>
      </c>
      <c r="AI27" s="30" t="e">
        <f t="shared" si="9"/>
        <v>#DIV/0!</v>
      </c>
      <c r="AJ27" s="30" t="e">
        <f t="shared" si="9"/>
        <v>#DIV/0!</v>
      </c>
      <c r="AK27" s="30" t="e">
        <f t="shared" si="9"/>
        <v>#DIV/0!</v>
      </c>
      <c r="AL27" s="30" t="e">
        <f t="shared" si="9"/>
        <v>#DIV/0!</v>
      </c>
      <c r="AM27" s="30" t="e">
        <f t="shared" si="9"/>
        <v>#DIV/0!</v>
      </c>
      <c r="AN27" s="30" t="e">
        <f t="shared" si="9"/>
        <v>#DIV/0!</v>
      </c>
      <c r="AO27" s="30" t="str">
        <f t="shared" si="9"/>
        <v>مستوى متميز</v>
      </c>
      <c r="AP27" s="30" t="str">
        <f t="shared" si="9"/>
        <v>مستوى متميز</v>
      </c>
      <c r="AQ27" s="30" t="str">
        <f t="shared" si="9"/>
        <v xml:space="preserve"> يحتاج الى تدخل سريع</v>
      </c>
      <c r="AR27" s="30" t="e">
        <f t="shared" si="9"/>
        <v>#DIV/0!</v>
      </c>
    </row>
    <row r="28" spans="1:47" ht="15" thickTop="1"/>
    <row r="58" spans="2:2">
      <c r="B58" s="2" t="e" cm="1">
        <f t="array" ref="B58">Q</f>
        <v>#NAME?</v>
      </c>
    </row>
  </sheetData>
  <mergeCells count="3">
    <mergeCell ref="A3:A4"/>
    <mergeCell ref="A25:B25"/>
    <mergeCell ref="A27:B27"/>
  </mergeCells>
  <conditionalFormatting sqref="C5:AP24">
    <cfRule type="cellIs" dxfId="14" priority="8" operator="between">
      <formula>1</formula>
      <formula>5</formula>
    </cfRule>
    <cfRule type="cellIs" dxfId="13" priority="9" operator="lessThan">
      <formula>1</formula>
    </cfRule>
    <cfRule type="containsText" dxfId="12" priority="10" operator="containsText" text="0">
      <formula>NOT(ISERROR(SEARCH("0",C5)))</formula>
    </cfRule>
    <cfRule type="containsText" dxfId="11" priority="11" operator="containsText" text="0">
      <formula>NOT(ISERROR(SEARCH("0",C5)))</formula>
    </cfRule>
    <cfRule type="containsText" dxfId="10" priority="12" operator="containsText" text="1">
      <formula>NOT(ISERROR(SEARCH("1",C5)))</formula>
    </cfRule>
    <cfRule type="containsText" dxfId="9" priority="13" operator="containsText" text="0">
      <formula>NOT(ISERROR(SEARCH("0",C5)))</formula>
    </cfRule>
  </conditionalFormatting>
  <conditionalFormatting sqref="C26:AR26">
    <cfRule type="cellIs" dxfId="8" priority="1" operator="between">
      <formula>40</formula>
      <formula>50</formula>
    </cfRule>
    <cfRule type="cellIs" dxfId="7" priority="3" operator="greaterThan">
      <formula>70</formula>
    </cfRule>
    <cfRule type="cellIs" dxfId="6" priority="4" operator="between">
      <formula>60</formula>
      <formula>70</formula>
    </cfRule>
    <cfRule type="cellIs" dxfId="5" priority="5" operator="lessThan">
      <formula>40</formula>
    </cfRule>
    <cfRule type="cellIs" dxfId="4" priority="6" operator="between">
      <formula>50</formula>
      <formula>60</formula>
    </cfRule>
  </conditionalFormatting>
  <conditionalFormatting sqref="C27:AR27">
    <cfRule type="cellIs" dxfId="3" priority="7" operator="between">
      <formula>70</formula>
      <formula>100</formula>
    </cfRule>
  </conditionalFormatting>
  <conditionalFormatting sqref="AX6:BA6">
    <cfRule type="expression" dxfId="2" priority="2">
      <formula>"0&lt;40"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rightToLeft="1" workbookViewId="0">
      <selection activeCell="C12" sqref="C12"/>
    </sheetView>
  </sheetViews>
  <sheetFormatPr defaultRowHeight="14.25"/>
  <cols>
    <col min="1" max="1" width="22.875" customWidth="1"/>
    <col min="4" max="4" width="19" customWidth="1"/>
  </cols>
  <sheetData>
    <row r="1" spans="1:4" ht="23.25">
      <c r="A1" s="1"/>
    </row>
    <row r="2" spans="1:4" ht="23.25">
      <c r="A2" s="1"/>
      <c r="D2" t="s">
        <v>7</v>
      </c>
    </row>
    <row r="3" spans="1:4" ht="23.25">
      <c r="A3" s="1"/>
      <c r="D3" s="7" t="s">
        <v>8</v>
      </c>
    </row>
    <row r="4" spans="1:4" ht="23.25">
      <c r="A4" s="1"/>
      <c r="D4" s="7" t="s">
        <v>9</v>
      </c>
    </row>
    <row r="5" spans="1:4" ht="23.25">
      <c r="A5" s="1"/>
      <c r="D5" s="7" t="s">
        <v>10</v>
      </c>
    </row>
    <row r="6" spans="1:4" ht="23.25">
      <c r="A6" s="1"/>
    </row>
    <row r="7" spans="1:4" ht="23.25">
      <c r="A7" s="1"/>
    </row>
    <row r="8" spans="1:4" ht="23.25">
      <c r="A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13</vt:i4>
      </vt:variant>
      <vt:variant>
        <vt:lpstr>نطاقات تمت تسميتها</vt:lpstr>
      </vt:variant>
      <vt:variant>
        <vt:i4>1</vt:i4>
      </vt:variant>
    </vt:vector>
  </HeadingPairs>
  <TitlesOfParts>
    <vt:vector size="14" baseType="lpstr">
      <vt:lpstr>الرئيسية</vt:lpstr>
      <vt:lpstr>صباحي ▏ ❺   </vt:lpstr>
      <vt:lpstr>مسائي ▏ ❺   </vt:lpstr>
      <vt:lpstr>صباحي ▏ ❻</vt:lpstr>
      <vt:lpstr>مسائي ▏ ❻</vt:lpstr>
      <vt:lpstr>صباحي ▏ ❼</vt:lpstr>
      <vt:lpstr>مسائي ▏ ❼</vt:lpstr>
      <vt:lpstr> صباحي ▏ ❽</vt:lpstr>
      <vt:lpstr> مسـائي ▏ ❽</vt:lpstr>
      <vt:lpstr>كـمياء❇️صباحي▏❾ </vt:lpstr>
      <vt:lpstr>كـمياء ▏ مسائي ▏ ❾ </vt:lpstr>
      <vt:lpstr> كيمياء𒁹❿ </vt:lpstr>
      <vt:lpstr>DATA</vt:lpstr>
      <vt:lpstr>الرئيسية!Print_Area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Alamri Aamer</cp:lastModifiedBy>
  <cp:lastPrinted>2023-01-22T03:44:15Z</cp:lastPrinted>
  <dcterms:created xsi:type="dcterms:W3CDTF">2023-01-10T03:42:57Z</dcterms:created>
  <dcterms:modified xsi:type="dcterms:W3CDTF">2026-01-29T11:38:55Z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2025-12-29T06:55:51Z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63309597-a7e2-4821-9f3b-64bb3164fab2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