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KN AL BAB\Desktop\"/>
    </mc:Choice>
  </mc:AlternateContent>
  <xr:revisionPtr revIDLastSave="0" documentId="8_{CBFCC061-8A34-41C0-82E1-A14E328CE420}" xr6:coauthVersionLast="47" xr6:coauthVersionMax="47" xr10:uidLastSave="{00000000-0000-0000-0000-000000000000}"/>
  <bookViews>
    <workbookView xWindow="-110" yWindow="-110" windowWidth="19420" windowHeight="10420" tabRatio="803" activeTab="6" xr2:uid="{7A24C496-BDA1-4F88-B902-24402E461248}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7" i="34"/>
  <c r="G26" i="34"/>
  <c r="G27" i="34" s="1"/>
  <c r="K26" i="34"/>
  <c r="K27" i="34" s="1"/>
  <c r="AG26" i="34"/>
  <c r="AG27" i="34" s="1"/>
  <c r="AJ26" i="34"/>
  <c r="AJ27" i="34" s="1"/>
  <c r="C25" i="34"/>
  <c r="C26" i="34" s="1"/>
  <c r="E25" i="34"/>
  <c r="E26" i="34" s="1"/>
  <c r="E27" i="34" s="1"/>
  <c r="F25" i="34"/>
  <c r="F26" i="34" s="1"/>
  <c r="F27" i="34" s="1"/>
  <c r="G25" i="34"/>
  <c r="H25" i="34"/>
  <c r="H26" i="34" s="1"/>
  <c r="H27" i="34" s="1"/>
  <c r="I25" i="34"/>
  <c r="I26" i="34" s="1"/>
  <c r="I27" i="34" s="1"/>
  <c r="J25" i="34"/>
  <c r="J26" i="34" s="1"/>
  <c r="J27" i="34" s="1"/>
  <c r="K25" i="34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H25" i="34"/>
  <c r="AH26" i="34" s="1"/>
  <c r="AH27" i="34" s="1"/>
  <c r="AI25" i="34"/>
  <c r="AI26" i="34" s="1"/>
  <c r="AI27" i="34" s="1"/>
  <c r="AJ25" i="34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I26" i="38"/>
  <c r="I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AM25" i="34" s="1"/>
  <c r="B58" i="33" a="1"/>
  <c r="B58" i="33" s="1"/>
  <c r="AI25" i="33"/>
  <c r="AI26" i="33" s="1"/>
  <c r="AI27" i="33" s="1"/>
  <c r="AH25" i="33"/>
  <c r="AH26" i="33" s="1"/>
  <c r="AH27" i="33" s="1"/>
  <c r="AG25" i="33"/>
  <c r="AG26" i="33" s="1"/>
  <c r="AG27" i="33" s="1"/>
  <c r="AF25" i="33"/>
  <c r="AF26" i="33" s="1"/>
  <c r="AF27" i="33" s="1"/>
  <c r="AE25" i="33"/>
  <c r="AE26" i="33" s="1"/>
  <c r="AE27" i="33" s="1"/>
  <c r="AD25" i="33"/>
  <c r="AD26" i="33" s="1"/>
  <c r="AD27" i="33" s="1"/>
  <c r="AC25" i="33"/>
  <c r="AC26" i="33" s="1"/>
  <c r="AC27" i="33" s="1"/>
  <c r="AB25" i="33"/>
  <c r="AB26" i="33" s="1"/>
  <c r="AB27" i="33" s="1"/>
  <c r="AA25" i="33"/>
  <c r="AA26" i="33" s="1"/>
  <c r="AA27" i="33" s="1"/>
  <c r="Z25" i="33"/>
  <c r="Z26" i="33" s="1"/>
  <c r="Z27" i="33" s="1"/>
  <c r="Y25" i="33"/>
  <c r="Y26" i="33" s="1"/>
  <c r="Y27" i="33" s="1"/>
  <c r="X25" i="33"/>
  <c r="X26" i="33" s="1"/>
  <c r="X27" i="33" s="1"/>
  <c r="W25" i="33"/>
  <c r="W26" i="33" s="1"/>
  <c r="W27" i="33" s="1"/>
  <c r="V25" i="33"/>
  <c r="V26" i="33" s="1"/>
  <c r="V27" i="33" s="1"/>
  <c r="U25" i="33"/>
  <c r="U26" i="33" s="1"/>
  <c r="U27" i="33" s="1"/>
  <c r="T25" i="33"/>
  <c r="T26" i="33" s="1"/>
  <c r="T27" i="33" s="1"/>
  <c r="S25" i="33"/>
  <c r="S26" i="33" s="1"/>
  <c r="S27" i="33" s="1"/>
  <c r="R25" i="33"/>
  <c r="R26" i="33" s="1"/>
  <c r="R27" i="33" s="1"/>
  <c r="Q25" i="33"/>
  <c r="Q26" i="33" s="1"/>
  <c r="Q27" i="33" s="1"/>
  <c r="P25" i="33"/>
  <c r="P26" i="33" s="1"/>
  <c r="P27" i="33" s="1"/>
  <c r="O25" i="33"/>
  <c r="O26" i="33" s="1"/>
  <c r="O27" i="33" s="1"/>
  <c r="N25" i="33"/>
  <c r="N26" i="33" s="1"/>
  <c r="N27" i="33" s="1"/>
  <c r="M25" i="33"/>
  <c r="M26" i="33" s="1"/>
  <c r="M27" i="33" s="1"/>
  <c r="L25" i="33"/>
  <c r="L26" i="33" s="1"/>
  <c r="L27" i="33" s="1"/>
  <c r="K25" i="33"/>
  <c r="K26" i="33" s="1"/>
  <c r="K27" i="33" s="1"/>
  <c r="J25" i="33"/>
  <c r="J26" i="33" s="1"/>
  <c r="J27" i="33" s="1"/>
  <c r="I25" i="33"/>
  <c r="I26" i="33" s="1"/>
  <c r="I27" i="33" s="1"/>
  <c r="H25" i="33"/>
  <c r="H26" i="33" s="1"/>
  <c r="H27" i="33" s="1"/>
  <c r="G25" i="33"/>
  <c r="G26" i="33" s="1"/>
  <c r="G27" i="33" s="1"/>
  <c r="F25" i="33"/>
  <c r="F26" i="33" s="1"/>
  <c r="F27" i="33" s="1"/>
  <c r="E25" i="33"/>
  <c r="E26" i="33" s="1"/>
  <c r="E27" i="33" s="1"/>
  <c r="D25" i="33"/>
  <c r="D26" i="33" s="1"/>
  <c r="D27" i="33" s="1"/>
  <c r="C25" i="33"/>
  <c r="C26" i="33" s="1"/>
  <c r="C27" i="33" s="1"/>
  <c r="AM24" i="33"/>
  <c r="AL24" i="33"/>
  <c r="AK24" i="33"/>
  <c r="AJ24" i="33"/>
  <c r="AM23" i="33"/>
  <c r="AL23" i="33"/>
  <c r="AK23" i="33"/>
  <c r="AJ23" i="33"/>
  <c r="AM22" i="33"/>
  <c r="AL22" i="33"/>
  <c r="AK22" i="33"/>
  <c r="AJ22" i="33"/>
  <c r="AM21" i="33"/>
  <c r="AL21" i="33"/>
  <c r="AK21" i="33"/>
  <c r="AJ21" i="33"/>
  <c r="AM20" i="33"/>
  <c r="AL20" i="33"/>
  <c r="AK20" i="33"/>
  <c r="AJ20" i="33"/>
  <c r="AM19" i="33"/>
  <c r="AL19" i="33"/>
  <c r="AK19" i="33"/>
  <c r="AJ19" i="33"/>
  <c r="AM18" i="33"/>
  <c r="AL18" i="33"/>
  <c r="AK18" i="33"/>
  <c r="AJ18" i="33"/>
  <c r="AM17" i="33"/>
  <c r="AL17" i="33"/>
  <c r="AK17" i="33"/>
  <c r="AJ17" i="33"/>
  <c r="AM16" i="33"/>
  <c r="AL16" i="33"/>
  <c r="AK16" i="33"/>
  <c r="AJ16" i="33"/>
  <c r="AM15" i="33"/>
  <c r="AL15" i="33"/>
  <c r="AK15" i="33"/>
  <c r="AJ15" i="33"/>
  <c r="AM14" i="33"/>
  <c r="AL14" i="33"/>
  <c r="AK14" i="33"/>
  <c r="AJ14" i="33"/>
  <c r="AM13" i="33"/>
  <c r="AL13" i="33"/>
  <c r="AK13" i="33"/>
  <c r="AJ13" i="33"/>
  <c r="AM12" i="33"/>
  <c r="AL12" i="33"/>
  <c r="AK12" i="33"/>
  <c r="AJ12" i="33"/>
  <c r="AM11" i="33"/>
  <c r="AL11" i="33"/>
  <c r="AK11" i="33"/>
  <c r="AJ11" i="33"/>
  <c r="AM10" i="33"/>
  <c r="AL10" i="33"/>
  <c r="AK10" i="33"/>
  <c r="AJ10" i="33"/>
  <c r="AM9" i="33"/>
  <c r="AL9" i="33"/>
  <c r="AK9" i="33"/>
  <c r="AJ9" i="33"/>
  <c r="AM8" i="33"/>
  <c r="AL8" i="33"/>
  <c r="AK8" i="33"/>
  <c r="AJ8" i="33"/>
  <c r="AM7" i="33"/>
  <c r="AL7" i="33"/>
  <c r="AK7" i="33"/>
  <c r="AJ7" i="33"/>
  <c r="AM6" i="33"/>
  <c r="AL6" i="33"/>
  <c r="AK6" i="33"/>
  <c r="AJ6" i="33"/>
  <c r="AM5" i="33"/>
  <c r="AM25" i="33" s="1"/>
  <c r="AL5" i="33"/>
  <c r="AK5" i="33"/>
  <c r="AK25" i="33" s="1"/>
  <c r="AJ5" i="33"/>
  <c r="AM4" i="33"/>
  <c r="AL4" i="33"/>
  <c r="AK4" i="33"/>
  <c r="AJ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N25" i="34" l="1"/>
  <c r="AM25" i="21"/>
  <c r="AL25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J25" i="33"/>
  <c r="AJ26" i="33" s="1"/>
  <c r="AJ27" i="33" s="1"/>
  <c r="AJ25" i="36"/>
  <c r="AJ26" i="36" s="1"/>
  <c r="AJ27" i="36" s="1"/>
  <c r="AI25" i="22"/>
  <c r="AG26" i="38"/>
  <c r="AT25" i="38"/>
  <c r="AL25" i="37"/>
  <c r="AM26" i="34"/>
  <c r="AM27" i="34" s="1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<sst xmlns="http://schemas.openxmlformats.org/spreadsheetml/2006/main" count="433" uniqueCount="122">
  <si>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</si>
  <si>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</si>
  <si>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</si>
  <si>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</si>
  <si>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</si>
  <si>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</si>
  <si>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</si>
  <si>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</si>
  <si>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</si>
  <si>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</si>
  <si>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</si>
  <si>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</si>
  <si>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</si>
  <si>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</si>
  <si>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</si>
  <si>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</si>
  <si>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</si>
  <si>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</si>
  <si>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</si>
  <si>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</si>
  <si>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</si>
  <si>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</si>
  <si>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</si>
  <si>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</si>
  <si>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</si>
  <si>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</si>
  <si>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</si>
  <si>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</si>
  <si>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</si>
  <si>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</si>
  <si>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</si>
  <si>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</si>
  <si>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</si>
  <si>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</si>
  <si>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</si>
  <si>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</si>
  <si>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</si>
  <si>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</si>
  <si>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</si>
  <si>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</si>
  <si>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</si>
  <si>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</si>
  <si>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</si>
  <si>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</si>
  <si>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</si>
  <si>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</si>
  <si>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</si>
  <si>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</si>
  <si>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</si>
  <si>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</si>
  <si>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</si>
  <si>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</si>
  <si>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</si>
  <si>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</si>
  <si>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</si>
  <si>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</si>
  <si>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</si>
  <si>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</si>
  <si>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</si>
  <si>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</si>
  <si>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</si>
  <si>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</si>
  <si>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</si>
  <si>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</si>
  <si>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</si>
  <si>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</si>
  <si>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</si>
  <si>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</si>
  <si>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</si>
  <si>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</si>
  <si>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</si>
  <si>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</si>
  <si>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</si>
  <si>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</si>
  <si>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</si>
  <si>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</si>
  <si>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</si>
  <si>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</si>
  <si>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</si>
  <si>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</si>
  <si>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</si>
  <si>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</si>
  <si>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</si>
  <si>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</si>
  <si>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</si>
  <si>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</si>
  <si>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</si>
  <si>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</si>
  <si>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</si>
  <si>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</si>
  <si>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</si>
  <si>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</si>
  <si>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</si>
  <si>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</si>
  <si>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</si>
  <si>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</si>
  <si>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</si>
  <si>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</si>
  <si>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</si>
  <si>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</si>
  <si>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</si>
  <si>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</si>
  <si>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</si>
  <si>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</si>
  <si>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</si>
  <si>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</si>
  <si>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</si>
  <si>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</si>
  <si>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</si>
  <si>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</si>
  <si>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</si>
  <si>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</si>
  <si>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</si>
  <si>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 xml:space="preserve">سعيد سهيل </t>
  </si>
  <si>
    <t>محمد احمد</t>
  </si>
  <si>
    <t xml:space="preserve">مسلم سعيد </t>
  </si>
  <si>
    <t>سعيد سالم</t>
  </si>
  <si>
    <t xml:space="preserve">سالم عامر </t>
  </si>
  <si>
    <t>سعيد علي</t>
  </si>
  <si>
    <t xml:space="preserve">محمد مسلم </t>
  </si>
  <si>
    <t xml:space="preserve">احمد محمد </t>
  </si>
  <si>
    <t xml:space="preserve">عثمان محمد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</si>
</sst>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rgb="FFC0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عادي" xfId="0" builtinId="0"/>
  </cellStyles>
  <dxfs count="145"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44</c:v>
                </c:pt>
                <c:pt idx="1">
                  <c:v>105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83.333333333333343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C029A-42DF-4D68-9864-C559D2ADED31}" name="Table1" displayName="Table1" ref="D2:D5" totalsRowShown="0" dataDxfId="144">
  <autoFilter ref="D2:D5" xr:uid="{9D9C029A-42DF-4D68-9864-C559D2ADED31}"/>
  <tableColumns count="1">
    <tableColumn id="1" xr3:uid="{C76991AB-617B-4BCB-B71E-378E088D3C75}" name="Column1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5077-DC97-4F35-ABCC-8B8D7272BB6E}">
  <sheetPr codeName="Sheet1">
    <tabColor rgb="FFFF0000"/>
  </sheetPr>
  <dimension ref="A1:O21"/>
  <sheetViews>
    <sheetView rightToLeft="1" zoomScaleNormal="100" workbookViewId="0">
      <selection activeCell="P13" sqref="P13"/>
    </sheetView>
  </sheetViews>
  <sheetFormatPr defaultRowHeight="14.5"/>
  <cols>
    <col min="14" max="14" width="40.81640625" customWidth="1"/>
    <col min="15" max="15" width="18.81640625" customWidth="1"/>
  </cols>
  <sheetData>
    <row r="1" spans="3:14" ht="24.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4.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4.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>
      <c r="C8" s="55" t="s">
        <v>112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 spans="3:14" ht="15" customHeight="1"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60"/>
    </row>
    <row r="10" spans="3:14" ht="15" thickBot="1"/>
    <row r="11" spans="3:14" ht="27.5" thickBot="1">
      <c r="C11" s="61" t="s">
        <v>0</v>
      </c>
      <c r="D11" s="62"/>
      <c r="E11" s="62"/>
      <c r="F11" s="63"/>
      <c r="G11" s="63"/>
      <c r="H11" s="63"/>
      <c r="I11" s="63"/>
      <c r="J11" s="63"/>
      <c r="K11" s="63"/>
      <c r="L11" s="63"/>
      <c r="M11" s="63"/>
    </row>
    <row r="12" spans="3:14" ht="27.5" thickBot="1">
      <c r="C12" s="61" t="s">
        <v>12</v>
      </c>
      <c r="D12" s="62"/>
      <c r="E12" s="62"/>
      <c r="F12" s="63"/>
      <c r="G12" s="63"/>
      <c r="H12" s="63"/>
      <c r="I12" s="63"/>
      <c r="J12" s="63"/>
      <c r="K12" s="63"/>
      <c r="L12" s="63"/>
      <c r="M12" s="63"/>
    </row>
    <row r="13" spans="3:14" ht="27.5" thickBot="1">
      <c r="C13" s="61" t="s">
        <v>1</v>
      </c>
      <c r="D13" s="62"/>
      <c r="E13" s="62"/>
      <c r="F13" s="63"/>
      <c r="G13" s="63"/>
      <c r="H13" s="63"/>
      <c r="I13" s="63"/>
      <c r="J13" s="63"/>
      <c r="K13" s="63"/>
      <c r="L13" s="63"/>
      <c r="M13" s="63"/>
    </row>
    <row r="14" spans="3:14" ht="27.5" thickBot="1">
      <c r="C14" s="61" t="s">
        <v>5</v>
      </c>
      <c r="D14" s="62"/>
      <c r="E14" s="62"/>
      <c r="F14" s="63"/>
      <c r="G14" s="63"/>
      <c r="H14" s="63"/>
      <c r="I14" s="63"/>
      <c r="J14" s="63"/>
      <c r="K14" s="63"/>
      <c r="L14" s="63"/>
      <c r="M14" s="63"/>
    </row>
    <row r="15" spans="3:14" ht="27.5" thickBot="1">
      <c r="C15" s="61" t="s">
        <v>6</v>
      </c>
      <c r="D15" s="62"/>
      <c r="E15" s="62"/>
      <c r="F15" s="63"/>
      <c r="G15" s="63"/>
      <c r="H15" s="63"/>
      <c r="I15" s="63"/>
      <c r="J15" s="63"/>
      <c r="K15" s="63"/>
      <c r="L15" s="63"/>
      <c r="M15" s="63"/>
    </row>
    <row r="16" spans="3:14" ht="15" thickBot="1"/>
    <row r="17" spans="1:15" ht="23.5">
      <c r="B17" s="66" t="s">
        <v>11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8"/>
    </row>
    <row r="18" spans="1:15" ht="23.5">
      <c r="B18" s="69" t="s">
        <v>107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1"/>
    </row>
    <row r="19" spans="1:15" ht="23.5">
      <c r="B19" s="72" t="s">
        <v>111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</row>
    <row r="20" spans="1:15" ht="23.5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3.5">
      <c r="A21" s="54"/>
      <c r="B21" s="64" t="s">
        <v>109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5"/>
    </row>
  </sheetData>
  <mergeCells count="15">
    <mergeCell ref="B21:N21"/>
    <mergeCell ref="B17:N17"/>
    <mergeCell ref="B18:N18"/>
    <mergeCell ref="B19:N19"/>
    <mergeCell ref="C11:E11"/>
    <mergeCell ref="F11:M11"/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B10C-72A5-47AD-9947-D3FE7938A446}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4.5"/>
  <cols>
    <col min="1" max="1" width="4" style="2" customWidth="1"/>
    <col min="2" max="2" width="37.1796875" style="2" customWidth="1"/>
    <col min="3" max="32" width="11.81640625" bestFit="1" customWidth="1"/>
    <col min="33" max="33" width="11.26953125" bestFit="1" customWidth="1"/>
    <col min="34" max="34" width="14.54296875" customWidth="1"/>
    <col min="35" max="35" width="20.1796875" customWidth="1"/>
    <col min="36" max="36" width="16.26953125" customWidth="1"/>
    <col min="37" max="37" width="9.1796875" customWidth="1"/>
    <col min="38" max="38" width="0.26953125" customWidth="1"/>
    <col min="39" max="39" width="16.7265625" customWidth="1"/>
    <col min="40" max="40" width="16" customWidth="1"/>
    <col min="41" max="41" width="15.26953125" customWidth="1"/>
    <col min="42" max="42" width="15.54296875" customWidth="1"/>
    <col min="43" max="43" width="16" customWidth="1"/>
  </cols>
  <sheetData>
    <row r="3" spans="1:43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>
      <c r="A4" s="76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7.5" thickBot="1">
      <c r="A25" s="77" t="s">
        <v>19</v>
      </c>
      <c r="B25" s="78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8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2" priority="209" operator="between">
      <formula>1</formula>
      <formula>5</formula>
    </cfRule>
    <cfRule type="cellIs" dxfId="141" priority="210" operator="lessThan">
      <formula>1</formula>
    </cfRule>
    <cfRule type="containsText" dxfId="140" priority="211" operator="containsText" text="0">
      <formula>NOT(ISERROR(SEARCH("0",C5)))</formula>
    </cfRule>
    <cfRule type="containsText" dxfId="139" priority="212" operator="containsText" text="0">
      <formula>NOT(ISERROR(SEARCH("0",C5)))</formula>
    </cfRule>
    <cfRule type="containsText" dxfId="138" priority="215" operator="containsText" text="1">
      <formula>NOT(ISERROR(SEARCH("1",C5)))</formula>
    </cfRule>
    <cfRule type="containsText" dxfId="137" priority="216" operator="containsText" text="0">
      <formula>NOT(ISERROR(SEARCH("0",C5)))</formula>
    </cfRule>
  </conditionalFormatting>
  <conditionalFormatting sqref="C26:AJ26">
    <cfRule type="cellIs" dxfId="136" priority="1" operator="between">
      <formula>40</formula>
      <formula>50</formula>
    </cfRule>
    <cfRule type="cellIs" dxfId="135" priority="65" operator="greaterThan">
      <formula>70</formula>
    </cfRule>
    <cfRule type="cellIs" dxfId="134" priority="68" operator="between">
      <formula>60</formula>
      <formula>70</formula>
    </cfRule>
    <cfRule type="cellIs" dxfId="133" priority="70" operator="lessThan">
      <formula>40</formula>
    </cfRule>
    <cfRule type="cellIs" dxfId="132" priority="72" operator="between">
      <formula>50</formula>
      <formula>60</formula>
    </cfRule>
  </conditionalFormatting>
  <conditionalFormatting sqref="C27:AJ27">
    <cfRule type="cellIs" dxfId="131" priority="93" operator="between">
      <formula>70</formula>
      <formula>100</formula>
    </cfRule>
  </conditionalFormatting>
  <conditionalFormatting sqref="AN6:AQ6">
    <cfRule type="expression" dxfId="13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59A1-1C1D-4E01-A9C4-8CF78B191799}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10" width="10.26953125" bestFit="1" customWidth="1"/>
    <col min="11" max="11" width="10.26953125" customWidth="1"/>
    <col min="12" max="24" width="10.26953125" bestFit="1" customWidth="1"/>
    <col min="25" max="25" width="10.26953125" customWidth="1"/>
    <col min="26" max="31" width="10.26953125" bestFit="1" customWidth="1"/>
    <col min="32" max="32" width="13" customWidth="1"/>
    <col min="33" max="33" width="14.54296875" customWidth="1"/>
    <col min="34" max="34" width="20.1796875" customWidth="1"/>
    <col min="35" max="35" width="16.26953125" customWidth="1"/>
    <col min="36" max="36" width="9.1796875" customWidth="1"/>
    <col min="37" max="37" width="0.26953125" customWidth="1"/>
    <col min="38" max="38" width="16.7265625" customWidth="1"/>
    <col min="39" max="39" width="16" customWidth="1"/>
    <col min="40" max="40" width="15.26953125" customWidth="1"/>
    <col min="41" max="41" width="15.54296875" customWidth="1"/>
    <col min="42" max="42" width="16" customWidth="1"/>
  </cols>
  <sheetData>
    <row r="3" spans="1:42" ht="50.25" customHeight="1">
      <c r="A3" s="75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>
      <c r="A4" s="76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7.5" thickBot="1">
      <c r="A25" s="77" t="s">
        <v>19</v>
      </c>
      <c r="B25" s="78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8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29" priority="8" operator="between">
      <formula>1</formula>
      <formula>5</formula>
    </cfRule>
    <cfRule type="cellIs" dxfId="128" priority="9" operator="lessThan">
      <formula>1</formula>
    </cfRule>
    <cfRule type="containsText" dxfId="127" priority="10" operator="containsText" text="0">
      <formula>NOT(ISERROR(SEARCH("0",C5)))</formula>
    </cfRule>
    <cfRule type="containsText" dxfId="126" priority="11" operator="containsText" text="0">
      <formula>NOT(ISERROR(SEARCH("0",C5)))</formula>
    </cfRule>
    <cfRule type="containsText" dxfId="125" priority="12" operator="containsText" text="1">
      <formula>NOT(ISERROR(SEARCH("1",C5)))</formula>
    </cfRule>
    <cfRule type="containsText" dxfId="124" priority="13" operator="containsText" text="0">
      <formula>NOT(ISERROR(SEARCH("0",C5)))</formula>
    </cfRule>
  </conditionalFormatting>
  <conditionalFormatting sqref="C26:AE26">
    <cfRule type="cellIs" dxfId="123" priority="1" operator="between">
      <formula>40</formula>
      <formula>50</formula>
    </cfRule>
    <cfRule type="cellIs" dxfId="122" priority="3" operator="greaterThan">
      <formula>70</formula>
    </cfRule>
    <cfRule type="cellIs" dxfId="121" priority="4" operator="between">
      <formula>60</formula>
      <formula>70</formula>
    </cfRule>
    <cfRule type="cellIs" dxfId="120" priority="5" operator="lessThan">
      <formula>40</formula>
    </cfRule>
    <cfRule type="cellIs" dxfId="119" priority="6" operator="between">
      <formula>50</formula>
      <formula>60</formula>
    </cfRule>
  </conditionalFormatting>
  <conditionalFormatting sqref="C27:AE27">
    <cfRule type="cellIs" dxfId="118" priority="7" operator="between">
      <formula>70</formula>
      <formula>100</formula>
    </cfRule>
  </conditionalFormatting>
  <conditionalFormatting sqref="AM6:AP6">
    <cfRule type="expression" dxfId="11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0106-BFC0-4031-8612-2CD89A6B43A0}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10" width="10.26953125" bestFit="1" customWidth="1"/>
    <col min="11" max="11" width="10.26953125" customWidth="1"/>
    <col min="12" max="31" width="10.26953125" bestFit="1" customWidth="1"/>
    <col min="32" max="34" width="10.26953125" customWidth="1"/>
    <col min="35" max="35" width="10.26953125" bestFit="1" customWidth="1"/>
    <col min="36" max="36" width="13" customWidth="1"/>
    <col min="37" max="37" width="14.54296875" customWidth="1"/>
    <col min="38" max="38" width="20.1796875" customWidth="1"/>
    <col min="39" max="39" width="16.26953125" customWidth="1"/>
    <col min="40" max="40" width="9.1796875" customWidth="1"/>
    <col min="41" max="41" width="0.26953125" customWidth="1"/>
    <col min="42" max="42" width="16.7265625" customWidth="1"/>
    <col min="43" max="43" width="16" customWidth="1"/>
    <col min="44" max="44" width="15.26953125" customWidth="1"/>
    <col min="45" max="45" width="15.5429687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7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8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6" priority="8" operator="between">
      <formula>1</formula>
      <formula>5</formula>
    </cfRule>
    <cfRule type="cellIs" dxfId="115" priority="9" operator="lessThan">
      <formula>1</formula>
    </cfRule>
    <cfRule type="containsText" dxfId="114" priority="10" operator="containsText" text="0">
      <formula>NOT(ISERROR(SEARCH("0",C5)))</formula>
    </cfRule>
    <cfRule type="containsText" dxfId="113" priority="11" operator="containsText" text="0">
      <formula>NOT(ISERROR(SEARCH("0",C5)))</formula>
    </cfRule>
    <cfRule type="containsText" dxfId="112" priority="12" operator="containsText" text="1">
      <formula>NOT(ISERROR(SEARCH("1",C5)))</formula>
    </cfRule>
    <cfRule type="containsText" dxfId="111" priority="13" operator="containsText" text="0">
      <formula>NOT(ISERROR(SEARCH("0",C5)))</formula>
    </cfRule>
  </conditionalFormatting>
  <conditionalFormatting sqref="C27:AI27">
    <cfRule type="cellIs" dxfId="110" priority="7" operator="between">
      <formula>70</formula>
      <formula>100</formula>
    </cfRule>
  </conditionalFormatting>
  <conditionalFormatting sqref="C26:AJ26">
    <cfRule type="cellIs" dxfId="109" priority="1" operator="between">
      <formula>40</formula>
      <formula>50</formula>
    </cfRule>
    <cfRule type="cellIs" dxfId="108" priority="3" operator="greaterThan">
      <formula>70</formula>
    </cfRule>
    <cfRule type="cellIs" dxfId="107" priority="4" operator="between">
      <formula>60</formula>
      <formula>70</formula>
    </cfRule>
    <cfRule type="cellIs" dxfId="106" priority="5" operator="lessThan">
      <formula>40</formula>
    </cfRule>
    <cfRule type="cellIs" dxfId="105" priority="6" operator="between">
      <formula>50</formula>
      <formula>60</formula>
    </cfRule>
  </conditionalFormatting>
  <conditionalFormatting sqref="AQ6:AT6">
    <cfRule type="expression" dxfId="10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2FF-F1D6-4A9C-BA7C-3DB0D5CF5268}">
  <sheetPr>
    <tabColor rgb="FFFFC00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I23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10" width="10.26953125" bestFit="1" customWidth="1"/>
    <col min="11" max="11" width="10.26953125" customWidth="1"/>
    <col min="12" max="31" width="10.26953125" bestFit="1" customWidth="1"/>
    <col min="32" max="34" width="10.26953125" customWidth="1"/>
    <col min="35" max="35" width="10.26953125" bestFit="1" customWidth="1"/>
    <col min="36" max="36" width="13" customWidth="1"/>
    <col min="37" max="37" width="14.54296875" customWidth="1"/>
    <col min="38" max="38" width="20.1796875" customWidth="1"/>
    <col min="39" max="39" width="16.26953125" customWidth="1"/>
    <col min="40" max="40" width="9.1796875" customWidth="1"/>
    <col min="41" max="41" width="0.26953125" customWidth="1"/>
    <col min="42" max="42" width="16.7265625" customWidth="1"/>
    <col min="43" max="43" width="16" customWidth="1"/>
    <col min="44" max="44" width="15.26953125" customWidth="1"/>
    <col min="45" max="45" width="15.5429687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7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8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str">
        <f t="shared" si="6"/>
        <v xml:space="preserve"> يحتاج الى تدخل سريع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03" priority="8" operator="between">
      <formula>1</formula>
      <formula>5</formula>
    </cfRule>
    <cfRule type="cellIs" dxfId="102" priority="9" operator="lessThan">
      <formula>1</formula>
    </cfRule>
    <cfRule type="containsText" dxfId="101" priority="10" operator="containsText" text="0">
      <formula>NOT(ISERROR(SEARCH("0",C5)))</formula>
    </cfRule>
    <cfRule type="containsText" dxfId="100" priority="11" operator="containsText" text="0">
      <formula>NOT(ISERROR(SEARCH("0",C5)))</formula>
    </cfRule>
    <cfRule type="containsText" dxfId="99" priority="12" operator="containsText" text="1">
      <formula>NOT(ISERROR(SEARCH("1",C5)))</formula>
    </cfRule>
    <cfRule type="containsText" dxfId="98" priority="13" operator="containsText" text="0">
      <formula>NOT(ISERROR(SEARCH("0",C5)))</formula>
    </cfRule>
  </conditionalFormatting>
  <conditionalFormatting sqref="C26:AJ26">
    <cfRule type="cellIs" dxfId="97" priority="1" operator="between">
      <formula>40</formula>
      <formula>50</formula>
    </cfRule>
    <cfRule type="cellIs" dxfId="96" priority="3" operator="greaterThan">
      <formula>70</formula>
    </cfRule>
    <cfRule type="cellIs" dxfId="95" priority="4" operator="between">
      <formula>60</formula>
      <formula>70</formula>
    </cfRule>
    <cfRule type="cellIs" dxfId="94" priority="5" operator="lessThan">
      <formula>40</formula>
    </cfRule>
    <cfRule type="cellIs" dxfId="93" priority="6" operator="between">
      <formula>50</formula>
      <formula>60</formula>
    </cfRule>
  </conditionalFormatting>
  <conditionalFormatting sqref="C27:AJ27">
    <cfRule type="cellIs" dxfId="92" priority="7" operator="between">
      <formula>70</formula>
      <formula>100</formula>
    </cfRule>
  </conditionalFormatting>
  <conditionalFormatting sqref="AQ6:AT6">
    <cfRule type="expression" dxfId="9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BB67-0D39-4A03-8CF8-12171AA829AB}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4.5"/>
  <cols>
    <col min="1" max="1" width="4" style="2" customWidth="1"/>
    <col min="2" max="2" width="37.1796875" style="2" customWidth="1"/>
    <col min="3" max="3" width="11.1796875" bestFit="1" customWidth="1"/>
    <col min="4" max="4" width="14.54296875" customWidth="1"/>
    <col min="5" max="9" width="10.26953125" bestFit="1" customWidth="1"/>
    <col min="10" max="10" width="10.26953125" customWidth="1"/>
    <col min="11" max="14" width="10.26953125" bestFit="1" customWidth="1"/>
    <col min="15" max="15" width="10.26953125" customWidth="1"/>
    <col min="16" max="29" width="10.26953125" bestFit="1" customWidth="1"/>
    <col min="30" max="33" width="10.26953125" customWidth="1"/>
    <col min="34" max="34" width="13" customWidth="1"/>
    <col min="35" max="35" width="14.54296875" customWidth="1"/>
    <col min="36" max="36" width="20.1796875" customWidth="1"/>
    <col min="37" max="37" width="16.26953125" customWidth="1"/>
    <col min="38" max="38" width="9.1796875" customWidth="1"/>
    <col min="39" max="39" width="0.26953125" customWidth="1"/>
    <col min="40" max="40" width="16.7265625" customWidth="1"/>
    <col min="41" max="41" width="16" customWidth="1"/>
    <col min="42" max="42" width="15.26953125" customWidth="1"/>
    <col min="43" max="43" width="15.5429687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.5" thickBot="1">
      <c r="A25" s="77" t="s">
        <v>19</v>
      </c>
      <c r="B25" s="78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8" thickTop="1" thickBot="1">
      <c r="A27" s="79" t="s">
        <v>110</v>
      </c>
      <c r="B27" s="80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0" priority="8" operator="between">
      <formula>1</formula>
      <formula>5</formula>
    </cfRule>
    <cfRule type="cellIs" dxfId="89" priority="9" operator="lessThan">
      <formula>1</formula>
    </cfRule>
    <cfRule type="containsText" dxfId="88" priority="10" operator="containsText" text="0">
      <formula>NOT(ISERROR(SEARCH("0",C5)))</formula>
    </cfRule>
    <cfRule type="containsText" dxfId="87" priority="11" operator="containsText" text="0">
      <formula>NOT(ISERROR(SEARCH("0",C5)))</formula>
    </cfRule>
    <cfRule type="containsText" dxfId="86" priority="12" operator="containsText" text="1">
      <formula>NOT(ISERROR(SEARCH("1",C5)))</formula>
    </cfRule>
    <cfRule type="containsText" dxfId="85" priority="13" operator="containsText" text="0">
      <formula>NOT(ISERROR(SEARCH("0",C5)))</formula>
    </cfRule>
  </conditionalFormatting>
  <conditionalFormatting sqref="C27:AG27">
    <cfRule type="cellIs" dxfId="84" priority="7" operator="between">
      <formula>70</formula>
      <formula>100</formula>
    </cfRule>
  </conditionalFormatting>
  <conditionalFormatting sqref="C26:AH26">
    <cfRule type="cellIs" dxfId="83" priority="1" operator="between">
      <formula>40</formula>
      <formula>50</formula>
    </cfRule>
    <cfRule type="cellIs" dxfId="82" priority="3" operator="greaterThan">
      <formula>70</formula>
    </cfRule>
    <cfRule type="cellIs" dxfId="81" priority="4" operator="between">
      <formula>60</formula>
      <formula>70</formula>
    </cfRule>
    <cfRule type="cellIs" dxfId="80" priority="5" operator="lessThan">
      <formula>40</formula>
    </cfRule>
    <cfRule type="cellIs" dxfId="79" priority="6" operator="between">
      <formula>50</formula>
      <formula>60</formula>
    </cfRule>
  </conditionalFormatting>
  <conditionalFormatting sqref="AO6:AR6">
    <cfRule type="expression" dxfId="7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B0E0-98F7-406D-8723-51B2E1AA9AA3}">
  <sheetPr>
    <tabColor rgb="FFFFC000"/>
  </sheetPr>
  <dimension ref="A3:AR58"/>
  <sheetViews>
    <sheetView rightToLeft="1" tabSelected="1" topLeftCell="H1" zoomScale="60" zoomScaleNormal="60" workbookViewId="0">
      <pane ySplit="4" topLeftCell="A5" activePane="bottomLeft" state="frozen"/>
      <selection activeCell="D1" sqref="D1"/>
      <selection pane="bottomLeft" activeCell="AH13" sqref="AH13"/>
    </sheetView>
  </sheetViews>
  <sheetFormatPr defaultRowHeight="14.5"/>
  <cols>
    <col min="1" max="1" width="4" style="2" customWidth="1"/>
    <col min="2" max="2" width="37.1796875" style="2" customWidth="1"/>
    <col min="3" max="3" width="13.54296875" style="2" customWidth="1"/>
    <col min="4" max="4" width="11.1796875" bestFit="1" customWidth="1"/>
    <col min="5" max="5" width="14.54296875" customWidth="1"/>
    <col min="6" max="10" width="10.26953125" bestFit="1" customWidth="1"/>
    <col min="11" max="11" width="10.26953125" customWidth="1"/>
    <col min="12" max="15" width="10.26953125" bestFit="1" customWidth="1"/>
    <col min="16" max="16" width="10.26953125" customWidth="1"/>
    <col min="17" max="30" width="10.26953125" bestFit="1" customWidth="1"/>
    <col min="31" max="33" width="10.26953125" customWidth="1"/>
    <col min="34" max="34" width="13" customWidth="1"/>
    <col min="35" max="35" width="14.54296875" customWidth="1"/>
    <col min="36" max="36" width="20.1796875" customWidth="1"/>
    <col min="37" max="37" width="16.26953125" customWidth="1"/>
    <col min="38" max="38" width="9.1796875" customWidth="1"/>
    <col min="39" max="39" width="0.26953125" customWidth="1"/>
    <col min="40" max="40" width="16.7265625" customWidth="1"/>
    <col min="41" max="41" width="16" customWidth="1"/>
    <col min="42" max="42" width="15.26953125" customWidth="1"/>
    <col min="43" max="43" width="15.5429687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">
      <c r="A5" s="5">
        <v>1</v>
      </c>
      <c r="B5" s="6" t="s">
        <v>113</v>
      </c>
      <c r="C5" s="6">
        <v>1</v>
      </c>
      <c r="D5" s="3">
        <v>1</v>
      </c>
      <c r="E5" s="3">
        <v>2</v>
      </c>
      <c r="F5" s="3">
        <v>2</v>
      </c>
      <c r="G5" s="3">
        <v>1</v>
      </c>
      <c r="H5" s="3">
        <v>1</v>
      </c>
      <c r="I5" s="3">
        <v>1</v>
      </c>
      <c r="J5" s="3">
        <v>2</v>
      </c>
      <c r="K5" s="3">
        <v>1</v>
      </c>
      <c r="L5" s="3">
        <v>1</v>
      </c>
      <c r="M5" s="3">
        <v>1</v>
      </c>
      <c r="N5" s="3">
        <v>1</v>
      </c>
      <c r="O5" s="3">
        <v>2</v>
      </c>
      <c r="P5" s="3">
        <v>2</v>
      </c>
      <c r="Q5" s="3">
        <v>0</v>
      </c>
      <c r="R5" s="3">
        <v>2</v>
      </c>
      <c r="S5" s="3">
        <v>1</v>
      </c>
      <c r="T5" s="3">
        <v>2</v>
      </c>
      <c r="U5" s="9">
        <v>1</v>
      </c>
      <c r="V5" s="9">
        <v>0</v>
      </c>
      <c r="W5" s="9">
        <v>1</v>
      </c>
      <c r="X5" s="9">
        <v>1</v>
      </c>
      <c r="Y5" s="9">
        <v>1</v>
      </c>
      <c r="Z5" s="9">
        <v>2</v>
      </c>
      <c r="AA5" s="9">
        <v>2</v>
      </c>
      <c r="AB5" s="9">
        <v>0</v>
      </c>
      <c r="AC5" s="9">
        <v>1</v>
      </c>
      <c r="AD5" s="9">
        <v>1</v>
      </c>
      <c r="AE5" s="9">
        <v>0</v>
      </c>
      <c r="AF5" s="9">
        <v>1</v>
      </c>
      <c r="AG5" s="9">
        <v>1</v>
      </c>
      <c r="AH5" s="26">
        <f t="shared" ref="AH5:AH24" si="0">SUM(C5:AG5)</f>
        <v>36</v>
      </c>
      <c r="AI5" s="14">
        <f t="shared" ref="AI5:AI24" si="1">AG5+AD5+Y5+V5+Q5+K5+H5+G5</f>
        <v>6</v>
      </c>
      <c r="AJ5" s="11">
        <f t="shared" ref="AJ5:AJ24" si="2">AF5+AB5+AA5+W5+U5+R5+P5+M5+L5+I5+E5+D5</f>
        <v>15</v>
      </c>
      <c r="AK5" s="10">
        <f t="shared" ref="AK5:AK24" si="3">AE5+AC5+Z5+X5+T5+S5+O5+N5+J5+F5+C5</f>
        <v>15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">
      <c r="A6" s="5">
        <v>2</v>
      </c>
      <c r="B6" s="6" t="s">
        <v>114</v>
      </c>
      <c r="C6" s="6">
        <v>1</v>
      </c>
      <c r="D6" s="3">
        <v>1</v>
      </c>
      <c r="E6" s="3">
        <v>2</v>
      </c>
      <c r="F6" s="3">
        <v>2</v>
      </c>
      <c r="G6" s="3">
        <v>1</v>
      </c>
      <c r="H6" s="3">
        <v>1</v>
      </c>
      <c r="I6" s="3">
        <v>1</v>
      </c>
      <c r="J6" s="3">
        <v>2</v>
      </c>
      <c r="K6" s="3">
        <v>1</v>
      </c>
      <c r="L6" s="3">
        <v>1</v>
      </c>
      <c r="M6" s="3">
        <v>1</v>
      </c>
      <c r="N6" s="3">
        <v>1</v>
      </c>
      <c r="O6" s="3">
        <v>2</v>
      </c>
      <c r="P6" s="3">
        <v>2</v>
      </c>
      <c r="Q6" s="3">
        <v>0</v>
      </c>
      <c r="R6" s="3">
        <v>2</v>
      </c>
      <c r="S6" s="3">
        <v>1</v>
      </c>
      <c r="T6" s="3">
        <v>2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2</v>
      </c>
      <c r="AA6" s="9">
        <v>2</v>
      </c>
      <c r="AB6" s="9">
        <v>1</v>
      </c>
      <c r="AC6" s="9">
        <v>0</v>
      </c>
      <c r="AD6" s="9">
        <v>1</v>
      </c>
      <c r="AE6" s="9">
        <v>1</v>
      </c>
      <c r="AF6" s="9">
        <v>1</v>
      </c>
      <c r="AG6" s="9">
        <v>1</v>
      </c>
      <c r="AH6" s="26">
        <f t="shared" si="0"/>
        <v>38</v>
      </c>
      <c r="AI6" s="14">
        <f t="shared" si="1"/>
        <v>7</v>
      </c>
      <c r="AJ6" s="11">
        <f t="shared" si="2"/>
        <v>16</v>
      </c>
      <c r="AK6" s="10">
        <f t="shared" si="3"/>
        <v>15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">
      <c r="A7" s="5">
        <v>3</v>
      </c>
      <c r="B7" s="6" t="s">
        <v>115</v>
      </c>
      <c r="C7" s="6">
        <v>1</v>
      </c>
      <c r="D7" s="3">
        <v>1</v>
      </c>
      <c r="E7" s="3">
        <v>2</v>
      </c>
      <c r="F7" s="3">
        <v>2</v>
      </c>
      <c r="G7" s="3">
        <v>1</v>
      </c>
      <c r="H7" s="3">
        <v>1</v>
      </c>
      <c r="I7" s="3">
        <v>1</v>
      </c>
      <c r="J7" s="3">
        <v>2</v>
      </c>
      <c r="K7" s="3">
        <v>1</v>
      </c>
      <c r="L7" s="3">
        <v>1</v>
      </c>
      <c r="M7" s="3">
        <v>1</v>
      </c>
      <c r="N7" s="3">
        <v>1</v>
      </c>
      <c r="O7" s="3">
        <v>2</v>
      </c>
      <c r="P7" s="3">
        <v>2</v>
      </c>
      <c r="Q7" s="3">
        <v>0</v>
      </c>
      <c r="R7" s="3">
        <v>2</v>
      </c>
      <c r="S7" s="3">
        <v>1</v>
      </c>
      <c r="T7" s="3">
        <v>2</v>
      </c>
      <c r="U7" s="9">
        <v>1</v>
      </c>
      <c r="V7" s="9">
        <v>0</v>
      </c>
      <c r="W7" s="9">
        <v>1</v>
      </c>
      <c r="X7" s="9">
        <v>1</v>
      </c>
      <c r="Y7" s="9">
        <v>1</v>
      </c>
      <c r="Z7" s="9">
        <v>2</v>
      </c>
      <c r="AA7" s="9">
        <v>2</v>
      </c>
      <c r="AB7" s="9">
        <v>1</v>
      </c>
      <c r="AC7" s="9">
        <v>1</v>
      </c>
      <c r="AD7" s="9">
        <v>1</v>
      </c>
      <c r="AE7" s="9">
        <v>0</v>
      </c>
      <c r="AF7" s="9">
        <v>1</v>
      </c>
      <c r="AG7" s="9">
        <v>1</v>
      </c>
      <c r="AH7" s="26">
        <f t="shared" si="0"/>
        <v>37</v>
      </c>
      <c r="AI7" s="14">
        <f t="shared" si="1"/>
        <v>6</v>
      </c>
      <c r="AJ7" s="11">
        <f t="shared" si="2"/>
        <v>16</v>
      </c>
      <c r="AK7" s="10">
        <f t="shared" si="3"/>
        <v>15</v>
      </c>
    </row>
    <row r="8" spans="1:44" ht="27">
      <c r="A8" s="5">
        <v>4</v>
      </c>
      <c r="B8" s="6" t="s">
        <v>116</v>
      </c>
      <c r="C8" s="6">
        <v>1</v>
      </c>
      <c r="D8" s="3">
        <v>1</v>
      </c>
      <c r="E8" s="3">
        <v>0</v>
      </c>
      <c r="F8" s="3">
        <v>2</v>
      </c>
      <c r="G8" s="3">
        <v>1</v>
      </c>
      <c r="H8" s="3">
        <v>1</v>
      </c>
      <c r="I8" s="3">
        <v>1</v>
      </c>
      <c r="J8" s="3">
        <v>2</v>
      </c>
      <c r="K8" s="3">
        <v>1</v>
      </c>
      <c r="L8" s="3">
        <v>1</v>
      </c>
      <c r="M8" s="3">
        <v>1</v>
      </c>
      <c r="N8" s="3">
        <v>1</v>
      </c>
      <c r="O8" s="3">
        <v>2</v>
      </c>
      <c r="P8" s="3">
        <v>2</v>
      </c>
      <c r="Q8" s="3">
        <v>0</v>
      </c>
      <c r="R8" s="3">
        <v>0</v>
      </c>
      <c r="S8" s="3">
        <v>1</v>
      </c>
      <c r="T8" s="3">
        <v>2</v>
      </c>
      <c r="U8" s="9">
        <v>1</v>
      </c>
      <c r="V8" s="9">
        <v>0</v>
      </c>
      <c r="W8" s="9">
        <v>0</v>
      </c>
      <c r="X8" s="9">
        <v>1</v>
      </c>
      <c r="Y8" s="9">
        <v>1</v>
      </c>
      <c r="Z8" s="9">
        <v>2</v>
      </c>
      <c r="AA8" s="9">
        <v>2</v>
      </c>
      <c r="AB8" s="9">
        <v>1</v>
      </c>
      <c r="AC8" s="9">
        <v>1</v>
      </c>
      <c r="AD8" s="9">
        <v>1</v>
      </c>
      <c r="AE8" s="9">
        <v>1</v>
      </c>
      <c r="AF8" s="9">
        <v>0</v>
      </c>
      <c r="AG8" s="9">
        <v>1</v>
      </c>
      <c r="AH8" s="26">
        <f t="shared" si="0"/>
        <v>32</v>
      </c>
      <c r="AI8" s="14">
        <f t="shared" si="1"/>
        <v>6</v>
      </c>
      <c r="AJ8" s="11">
        <f t="shared" si="2"/>
        <v>10</v>
      </c>
      <c r="AK8" s="10">
        <f t="shared" si="3"/>
        <v>16</v>
      </c>
    </row>
    <row r="9" spans="1:44" ht="27">
      <c r="A9" s="5">
        <v>5</v>
      </c>
      <c r="B9" s="6" t="s">
        <v>117</v>
      </c>
      <c r="C9" s="6">
        <v>1</v>
      </c>
      <c r="D9" s="3">
        <v>1</v>
      </c>
      <c r="E9" s="3">
        <v>0</v>
      </c>
      <c r="F9" s="3">
        <v>2</v>
      </c>
      <c r="G9" s="3">
        <v>1</v>
      </c>
      <c r="H9" s="3">
        <v>1</v>
      </c>
      <c r="I9" s="3">
        <v>1</v>
      </c>
      <c r="J9" s="3">
        <v>2</v>
      </c>
      <c r="K9" s="3">
        <v>0</v>
      </c>
      <c r="L9" s="3">
        <v>1</v>
      </c>
      <c r="M9" s="3">
        <v>1</v>
      </c>
      <c r="N9" s="3">
        <v>1</v>
      </c>
      <c r="O9" s="3">
        <v>2</v>
      </c>
      <c r="P9" s="3">
        <v>2</v>
      </c>
      <c r="Q9" s="3">
        <v>0</v>
      </c>
      <c r="R9" s="3">
        <v>2</v>
      </c>
      <c r="S9" s="3">
        <v>1</v>
      </c>
      <c r="T9" s="3">
        <v>2</v>
      </c>
      <c r="U9" s="9">
        <v>1</v>
      </c>
      <c r="V9" s="9">
        <v>0</v>
      </c>
      <c r="W9" s="9">
        <v>0</v>
      </c>
      <c r="X9" s="9">
        <v>1</v>
      </c>
      <c r="Y9" s="9">
        <v>0</v>
      </c>
      <c r="Z9" s="9">
        <v>1</v>
      </c>
      <c r="AA9" s="9">
        <v>2</v>
      </c>
      <c r="AB9" s="9">
        <v>0</v>
      </c>
      <c r="AC9" s="9">
        <v>1</v>
      </c>
      <c r="AD9" s="9">
        <v>1</v>
      </c>
      <c r="AE9" s="9">
        <v>0</v>
      </c>
      <c r="AF9" s="9">
        <v>1</v>
      </c>
      <c r="AG9" s="9">
        <v>1</v>
      </c>
      <c r="AH9" s="26">
        <f t="shared" si="0"/>
        <v>30</v>
      </c>
      <c r="AI9" s="14">
        <f t="shared" si="1"/>
        <v>4</v>
      </c>
      <c r="AJ9" s="11">
        <f t="shared" si="2"/>
        <v>12</v>
      </c>
      <c r="AK9" s="10">
        <f t="shared" si="3"/>
        <v>14</v>
      </c>
    </row>
    <row r="10" spans="1:44" ht="27">
      <c r="A10" s="5">
        <v>6</v>
      </c>
      <c r="B10" s="6" t="s">
        <v>118</v>
      </c>
      <c r="C10" s="6">
        <v>1</v>
      </c>
      <c r="D10" s="3">
        <v>1</v>
      </c>
      <c r="E10" s="3">
        <v>0</v>
      </c>
      <c r="F10" s="3">
        <v>2</v>
      </c>
      <c r="G10" s="3">
        <v>1</v>
      </c>
      <c r="H10" s="3">
        <v>1</v>
      </c>
      <c r="I10" s="3">
        <v>1</v>
      </c>
      <c r="J10" s="3">
        <v>2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2</v>
      </c>
      <c r="Q10" s="3">
        <v>0</v>
      </c>
      <c r="R10" s="3">
        <v>2</v>
      </c>
      <c r="S10" s="3">
        <v>1</v>
      </c>
      <c r="T10" s="3">
        <v>1</v>
      </c>
      <c r="U10" s="9">
        <v>1</v>
      </c>
      <c r="V10" s="9">
        <v>0</v>
      </c>
      <c r="W10" s="9">
        <v>1</v>
      </c>
      <c r="X10" s="9">
        <v>1</v>
      </c>
      <c r="Y10" s="9">
        <v>0</v>
      </c>
      <c r="Z10" s="9">
        <v>0</v>
      </c>
      <c r="AA10" s="9">
        <v>2</v>
      </c>
      <c r="AB10" s="9">
        <v>1</v>
      </c>
      <c r="AC10" s="9">
        <v>1</v>
      </c>
      <c r="AD10" s="9">
        <v>1</v>
      </c>
      <c r="AE10" s="9">
        <v>0</v>
      </c>
      <c r="AF10" s="9">
        <v>1</v>
      </c>
      <c r="AG10" s="9">
        <v>1</v>
      </c>
      <c r="AH10" s="26">
        <f t="shared" si="0"/>
        <v>29</v>
      </c>
      <c r="AI10" s="14">
        <f t="shared" si="1"/>
        <v>4</v>
      </c>
      <c r="AJ10" s="11">
        <f t="shared" si="2"/>
        <v>14</v>
      </c>
      <c r="AK10" s="10">
        <f t="shared" si="3"/>
        <v>11</v>
      </c>
    </row>
    <row r="11" spans="1:44" ht="27">
      <c r="A11" s="5">
        <v>7</v>
      </c>
      <c r="B11" s="6" t="s">
        <v>119</v>
      </c>
      <c r="C11" s="6">
        <v>1</v>
      </c>
      <c r="D11" s="3">
        <v>1</v>
      </c>
      <c r="E11" s="3">
        <v>0</v>
      </c>
      <c r="F11" s="3">
        <v>2</v>
      </c>
      <c r="G11" s="3">
        <v>1</v>
      </c>
      <c r="H11" s="3">
        <v>1</v>
      </c>
      <c r="I11" s="3">
        <v>1</v>
      </c>
      <c r="J11" s="3">
        <v>0</v>
      </c>
      <c r="K11" s="3">
        <v>0</v>
      </c>
      <c r="L11" s="3">
        <v>1</v>
      </c>
      <c r="M11" s="3">
        <v>0</v>
      </c>
      <c r="N11" s="3">
        <v>1</v>
      </c>
      <c r="O11" s="3">
        <v>2</v>
      </c>
      <c r="P11" s="3">
        <v>2</v>
      </c>
      <c r="Q11" s="3">
        <v>0</v>
      </c>
      <c r="R11" s="3">
        <v>0</v>
      </c>
      <c r="S11" s="3">
        <v>1</v>
      </c>
      <c r="T11" s="3">
        <v>2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2</v>
      </c>
      <c r="AB11" s="9">
        <v>1</v>
      </c>
      <c r="AC11" s="9">
        <v>0</v>
      </c>
      <c r="AD11" s="9">
        <v>1</v>
      </c>
      <c r="AE11" s="9">
        <v>1</v>
      </c>
      <c r="AF11" s="9">
        <v>0</v>
      </c>
      <c r="AG11" s="9">
        <v>1</v>
      </c>
      <c r="AH11" s="26">
        <f t="shared" si="0"/>
        <v>23</v>
      </c>
      <c r="AI11" s="14">
        <f t="shared" si="1"/>
        <v>4</v>
      </c>
      <c r="AJ11" s="11">
        <f t="shared" si="2"/>
        <v>8</v>
      </c>
      <c r="AK11" s="10">
        <f t="shared" si="3"/>
        <v>11</v>
      </c>
    </row>
    <row r="12" spans="1:44" ht="27">
      <c r="A12" s="5">
        <v>8</v>
      </c>
      <c r="B12" s="6" t="s">
        <v>120</v>
      </c>
      <c r="C12" s="6">
        <v>1</v>
      </c>
      <c r="D12" s="3">
        <v>1</v>
      </c>
      <c r="E12" s="3">
        <v>0</v>
      </c>
      <c r="F12" s="3">
        <v>2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1</v>
      </c>
      <c r="M12" s="3">
        <v>0</v>
      </c>
      <c r="N12" s="3">
        <v>1</v>
      </c>
      <c r="O12" s="3">
        <v>2</v>
      </c>
      <c r="P12" s="3">
        <v>2</v>
      </c>
      <c r="Q12" s="3">
        <v>0</v>
      </c>
      <c r="R12" s="3">
        <v>0</v>
      </c>
      <c r="S12" s="3">
        <v>1</v>
      </c>
      <c r="T12" s="3">
        <v>2</v>
      </c>
      <c r="U12" s="9">
        <v>0</v>
      </c>
      <c r="V12" s="9">
        <v>0</v>
      </c>
      <c r="W12" s="9">
        <v>0</v>
      </c>
      <c r="X12" s="9">
        <v>1</v>
      </c>
      <c r="Y12" s="9">
        <v>0</v>
      </c>
      <c r="Z12" s="9">
        <v>0</v>
      </c>
      <c r="AA12" s="9">
        <v>2</v>
      </c>
      <c r="AB12" s="9">
        <v>0</v>
      </c>
      <c r="AC12" s="9">
        <v>1</v>
      </c>
      <c r="AD12" s="9">
        <v>1</v>
      </c>
      <c r="AE12" s="9">
        <v>0</v>
      </c>
      <c r="AF12" s="9">
        <v>0</v>
      </c>
      <c r="AG12" s="9">
        <v>1</v>
      </c>
      <c r="AH12" s="26">
        <f t="shared" si="0"/>
        <v>22</v>
      </c>
      <c r="AI12" s="14">
        <f t="shared" si="1"/>
        <v>4</v>
      </c>
      <c r="AJ12" s="11">
        <f t="shared" si="2"/>
        <v>7</v>
      </c>
      <c r="AK12" s="10">
        <f t="shared" si="3"/>
        <v>11</v>
      </c>
    </row>
    <row r="13" spans="1:44" ht="27">
      <c r="A13" s="5">
        <v>9</v>
      </c>
      <c r="B13" s="6" t="s">
        <v>121</v>
      </c>
      <c r="C13" s="6">
        <v>1</v>
      </c>
      <c r="D13" s="3">
        <v>1</v>
      </c>
      <c r="E13" s="3">
        <v>0</v>
      </c>
      <c r="F13" s="3">
        <v>1</v>
      </c>
      <c r="G13" s="3">
        <v>1</v>
      </c>
      <c r="H13" s="3">
        <v>1</v>
      </c>
      <c r="I13" s="3">
        <v>1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2</v>
      </c>
      <c r="Q13" s="3">
        <v>0</v>
      </c>
      <c r="R13" s="3">
        <v>0</v>
      </c>
      <c r="S13" s="3">
        <v>1</v>
      </c>
      <c r="T13" s="3">
        <v>2</v>
      </c>
      <c r="U13" s="9">
        <v>0</v>
      </c>
      <c r="V13" s="9">
        <v>0</v>
      </c>
      <c r="W13" s="9">
        <v>0</v>
      </c>
      <c r="X13" s="9">
        <v>1</v>
      </c>
      <c r="Y13" s="9">
        <v>0</v>
      </c>
      <c r="Z13" s="9">
        <v>0</v>
      </c>
      <c r="AA13" s="9">
        <v>2</v>
      </c>
      <c r="AB13" s="9">
        <v>0</v>
      </c>
      <c r="AC13" s="9">
        <v>0</v>
      </c>
      <c r="AD13" s="9">
        <v>1</v>
      </c>
      <c r="AE13" s="9">
        <v>0</v>
      </c>
      <c r="AF13" s="9">
        <v>0</v>
      </c>
      <c r="AG13" s="9">
        <v>0</v>
      </c>
      <c r="AH13" s="26">
        <f t="shared" si="0"/>
        <v>16</v>
      </c>
      <c r="AI13" s="14">
        <f t="shared" si="1"/>
        <v>3</v>
      </c>
      <c r="AJ13" s="11">
        <f t="shared" si="2"/>
        <v>7</v>
      </c>
      <c r="AK13" s="10">
        <f t="shared" si="3"/>
        <v>6</v>
      </c>
    </row>
    <row r="14" spans="1:44" ht="2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.5" thickBot="1">
      <c r="A25" s="77" t="s">
        <v>19</v>
      </c>
      <c r="B25" s="78"/>
      <c r="C25" s="23"/>
      <c r="D25" s="4">
        <f t="shared" ref="D25:AH25" si="4">AVERAGE(D5:D24)</f>
        <v>1</v>
      </c>
      <c r="E25" s="4">
        <f t="shared" si="4"/>
        <v>0.66666666666666663</v>
      </c>
      <c r="F25" s="4">
        <f t="shared" si="4"/>
        <v>1.8888888888888888</v>
      </c>
      <c r="G25" s="4">
        <f t="shared" si="4"/>
        <v>1</v>
      </c>
      <c r="H25" s="4">
        <f t="shared" si="4"/>
        <v>1</v>
      </c>
      <c r="I25" s="4">
        <f t="shared" si="4"/>
        <v>1</v>
      </c>
      <c r="J25" s="4">
        <f t="shared" si="4"/>
        <v>1.3333333333333333</v>
      </c>
      <c r="K25" s="4">
        <f t="shared" si="4"/>
        <v>0.44444444444444442</v>
      </c>
      <c r="L25" s="4">
        <f t="shared" si="4"/>
        <v>1</v>
      </c>
      <c r="M25" s="4">
        <f t="shared" si="4"/>
        <v>0.66666666666666663</v>
      </c>
      <c r="N25" s="4">
        <f t="shared" si="4"/>
        <v>0.88888888888888884</v>
      </c>
      <c r="O25" s="4">
        <f t="shared" si="4"/>
        <v>1.6666666666666667</v>
      </c>
      <c r="P25" s="4"/>
      <c r="Q25" s="4">
        <f t="shared" si="4"/>
        <v>0</v>
      </c>
      <c r="R25" s="4">
        <f t="shared" si="4"/>
        <v>1.1111111111111112</v>
      </c>
      <c r="S25" s="4">
        <f t="shared" si="4"/>
        <v>1</v>
      </c>
      <c r="T25" s="4">
        <f t="shared" si="4"/>
        <v>1.8888888888888888</v>
      </c>
      <c r="U25" s="4">
        <f t="shared" si="4"/>
        <v>0.66666666666666663</v>
      </c>
      <c r="V25" s="4">
        <f t="shared" si="4"/>
        <v>0.1111111111111111</v>
      </c>
      <c r="W25" s="4">
        <f t="shared" si="4"/>
        <v>0.44444444444444442</v>
      </c>
      <c r="X25" s="4">
        <f t="shared" si="4"/>
        <v>1</v>
      </c>
      <c r="Y25" s="4">
        <f t="shared" si="4"/>
        <v>0.44444444444444442</v>
      </c>
      <c r="Z25" s="4">
        <f t="shared" si="4"/>
        <v>1</v>
      </c>
      <c r="AA25" s="4">
        <f t="shared" si="4"/>
        <v>2</v>
      </c>
      <c r="AB25" s="4">
        <f t="shared" si="4"/>
        <v>0.55555555555555558</v>
      </c>
      <c r="AC25" s="4">
        <f t="shared" si="4"/>
        <v>0.66666666666666663</v>
      </c>
      <c r="AD25" s="4">
        <f t="shared" si="4"/>
        <v>1</v>
      </c>
      <c r="AE25" s="4">
        <f t="shared" si="4"/>
        <v>0.33333333333333331</v>
      </c>
      <c r="AF25" s="4">
        <f t="shared" si="4"/>
        <v>0.55555555555555558</v>
      </c>
      <c r="AG25" s="4">
        <f t="shared" si="4"/>
        <v>0.88888888888888884</v>
      </c>
      <c r="AH25" s="4">
        <f t="shared" si="4"/>
        <v>13.15</v>
      </c>
      <c r="AI25" s="19">
        <f>SUM(AI5:AI24)</f>
        <v>44</v>
      </c>
      <c r="AJ25" s="19">
        <f>SUM(AJ5:AJ24)</f>
        <v>105</v>
      </c>
      <c r="AK25" s="19">
        <f>SUM(AK5:AK24)</f>
        <v>114</v>
      </c>
    </row>
    <row r="26" spans="1:37" ht="51.75" customHeight="1" thickTop="1" thickBot="1">
      <c r="A26" s="22"/>
      <c r="B26" s="23" t="s">
        <v>34</v>
      </c>
      <c r="C26" s="43"/>
      <c r="D26" s="30">
        <f t="shared" ref="D26:AH26" si="5">D25/D4*100</f>
        <v>100</v>
      </c>
      <c r="E26" s="30">
        <f t="shared" si="5"/>
        <v>33.333333333333329</v>
      </c>
      <c r="F26" s="30">
        <f t="shared" si="5"/>
        <v>94.444444444444443</v>
      </c>
      <c r="G26" s="30">
        <f t="shared" si="5"/>
        <v>100</v>
      </c>
      <c r="H26" s="30">
        <f t="shared" si="5"/>
        <v>100</v>
      </c>
      <c r="I26" s="30">
        <f t="shared" si="5"/>
        <v>100</v>
      </c>
      <c r="J26" s="30">
        <f t="shared" si="5"/>
        <v>66.666666666666657</v>
      </c>
      <c r="K26" s="30">
        <f t="shared" si="5"/>
        <v>44.444444444444443</v>
      </c>
      <c r="L26" s="30">
        <f t="shared" si="5"/>
        <v>100</v>
      </c>
      <c r="M26" s="30">
        <f t="shared" si="5"/>
        <v>66.666666666666657</v>
      </c>
      <c r="N26" s="30">
        <f t="shared" si="5"/>
        <v>88.888888888888886</v>
      </c>
      <c r="O26" s="30">
        <f t="shared" si="5"/>
        <v>83.333333333333343</v>
      </c>
      <c r="P26" s="30"/>
      <c r="Q26" s="30">
        <f t="shared" si="5"/>
        <v>0</v>
      </c>
      <c r="R26" s="30">
        <f t="shared" si="5"/>
        <v>55.555555555555557</v>
      </c>
      <c r="S26" s="30">
        <f t="shared" si="5"/>
        <v>100</v>
      </c>
      <c r="T26" s="30">
        <f t="shared" si="5"/>
        <v>94.444444444444443</v>
      </c>
      <c r="U26" s="30">
        <f t="shared" si="5"/>
        <v>66.666666666666657</v>
      </c>
      <c r="V26" s="30">
        <f t="shared" si="5"/>
        <v>11.111111111111111</v>
      </c>
      <c r="W26" s="30">
        <f t="shared" si="5"/>
        <v>44.444444444444443</v>
      </c>
      <c r="X26" s="30">
        <f t="shared" si="5"/>
        <v>100</v>
      </c>
      <c r="Y26" s="30">
        <f t="shared" si="5"/>
        <v>44.444444444444443</v>
      </c>
      <c r="Z26" s="30">
        <f t="shared" si="5"/>
        <v>50</v>
      </c>
      <c r="AA26" s="30">
        <f t="shared" si="5"/>
        <v>100</v>
      </c>
      <c r="AB26" s="30">
        <f t="shared" si="5"/>
        <v>55.555555555555557</v>
      </c>
      <c r="AC26" s="30">
        <f t="shared" si="5"/>
        <v>66.666666666666657</v>
      </c>
      <c r="AD26" s="30">
        <f t="shared" si="5"/>
        <v>100</v>
      </c>
      <c r="AE26" s="30">
        <f t="shared" si="5"/>
        <v>33.333333333333329</v>
      </c>
      <c r="AF26" s="30">
        <f t="shared" si="5"/>
        <v>55.555555555555557</v>
      </c>
      <c r="AG26" s="30">
        <f t="shared" si="5"/>
        <v>88.888888888888886</v>
      </c>
      <c r="AH26" s="30">
        <f t="shared" si="5"/>
        <v>32.875</v>
      </c>
      <c r="AI26" s="19"/>
      <c r="AJ26" s="19"/>
      <c r="AK26" s="19"/>
    </row>
    <row r="27" spans="1:37" ht="28" thickTop="1" thickBot="1">
      <c r="A27" s="79" t="s">
        <v>4</v>
      </c>
      <c r="B27" s="80"/>
      <c r="C27" s="44"/>
      <c r="D27" s="30" t="str">
        <f t="shared" ref="D27:AD27" si="6">IF(D26&gt;70,"مستوى متميز",IF(D26&gt;60,"مستوى جيد",IF(D26&gt;50,"مستوى ملائم",IF(D26&gt;=40,"مستوى غير ملائم"," يحتاج الى تدخل سريع"))))</f>
        <v>مستوى متميز</v>
      </c>
      <c r="E27" s="30" t="str">
        <f t="shared" si="6"/>
        <v xml:space="preserve"> يحتاج الى تدخل سريع</v>
      </c>
      <c r="F27" s="30" t="str">
        <f t="shared" si="6"/>
        <v>مستوى متميز</v>
      </c>
      <c r="G27" s="30" t="str">
        <f t="shared" si="6"/>
        <v>مستوى متميز</v>
      </c>
      <c r="H27" s="30" t="str">
        <f t="shared" si="6"/>
        <v>مستوى متميز</v>
      </c>
      <c r="I27" s="30" t="str">
        <f t="shared" si="6"/>
        <v>مستوى متميز</v>
      </c>
      <c r="J27" s="30" t="str">
        <f t="shared" si="6"/>
        <v>مستوى جيد</v>
      </c>
      <c r="K27" s="30" t="str">
        <f t="shared" si="6"/>
        <v>مستوى غير ملائم</v>
      </c>
      <c r="L27" s="30" t="str">
        <f t="shared" si="6"/>
        <v>مستوى متميز</v>
      </c>
      <c r="M27" s="30" t="str">
        <f t="shared" si="6"/>
        <v>مستوى جيد</v>
      </c>
      <c r="N27" s="30" t="str">
        <f t="shared" si="6"/>
        <v>مستوى متميز</v>
      </c>
      <c r="O27" s="30" t="str">
        <f t="shared" si="6"/>
        <v>مستوى متميز</v>
      </c>
      <c r="P27" s="30"/>
      <c r="Q27" s="30" t="str">
        <f t="shared" si="6"/>
        <v xml:space="preserve"> يحتاج الى تدخل سريع</v>
      </c>
      <c r="R27" s="30" t="str">
        <f t="shared" si="6"/>
        <v>مستوى ملائم</v>
      </c>
      <c r="S27" s="30" t="str">
        <f t="shared" si="6"/>
        <v>مستوى متميز</v>
      </c>
      <c r="T27" s="30" t="str">
        <f t="shared" si="6"/>
        <v>مستوى متميز</v>
      </c>
      <c r="U27" s="30" t="str">
        <f t="shared" si="6"/>
        <v>مستوى جيد</v>
      </c>
      <c r="V27" s="30" t="str">
        <f t="shared" si="6"/>
        <v xml:space="preserve"> يحتاج الى تدخل سريع</v>
      </c>
      <c r="W27" s="30" t="str">
        <f t="shared" si="6"/>
        <v>مستوى غير ملائم</v>
      </c>
      <c r="X27" s="30" t="str">
        <f t="shared" si="6"/>
        <v>مستوى متميز</v>
      </c>
      <c r="Y27" s="30" t="str">
        <f t="shared" si="6"/>
        <v>مستوى غير ملائم</v>
      </c>
      <c r="Z27" s="30" t="str">
        <f t="shared" si="6"/>
        <v>مستوى غير ملائم</v>
      </c>
      <c r="AA27" s="30" t="str">
        <f t="shared" si="6"/>
        <v>مستوى متميز</v>
      </c>
      <c r="AB27" s="30" t="str">
        <f t="shared" si="6"/>
        <v>مستوى ملائم</v>
      </c>
      <c r="AC27" s="30" t="str">
        <f t="shared" si="6"/>
        <v>مستوى جيد</v>
      </c>
      <c r="AD27" s="30" t="str">
        <f t="shared" si="6"/>
        <v>مستوى متميز</v>
      </c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7" priority="8" operator="between">
      <formula>1</formula>
      <formula>5</formula>
    </cfRule>
    <cfRule type="cellIs" dxfId="76" priority="9" operator="lessThan">
      <formula>1</formula>
    </cfRule>
    <cfRule type="containsText" dxfId="75" priority="10" operator="containsText" text="0">
      <formula>NOT(ISERROR(SEARCH("0",D5)))</formula>
    </cfRule>
    <cfRule type="containsText" dxfId="74" priority="11" operator="containsText" text="0">
      <formula>NOT(ISERROR(SEARCH("0",D5)))</formula>
    </cfRule>
    <cfRule type="containsText" dxfId="73" priority="12" operator="containsText" text="1">
      <formula>NOT(ISERROR(SEARCH("1",D5)))</formula>
    </cfRule>
    <cfRule type="containsText" dxfId="72" priority="13" operator="containsText" text="0">
      <formula>NOT(ISERROR(SEARCH("0",D5)))</formula>
    </cfRule>
  </conditionalFormatting>
  <conditionalFormatting sqref="D27:AG27">
    <cfRule type="cellIs" dxfId="71" priority="7" operator="between">
      <formula>70</formula>
      <formula>100</formula>
    </cfRule>
  </conditionalFormatting>
  <conditionalFormatting sqref="D26:AH26">
    <cfRule type="cellIs" dxfId="70" priority="1" operator="between">
      <formula>40</formula>
      <formula>50</formula>
    </cfRule>
    <cfRule type="cellIs" dxfId="69" priority="3" operator="greaterThan">
      <formula>70</formula>
    </cfRule>
    <cfRule type="cellIs" dxfId="68" priority="4" operator="between">
      <formula>60</formula>
      <formula>70</formula>
    </cfRule>
    <cfRule type="cellIs" dxfId="67" priority="5" operator="lessThan">
      <formula>40</formula>
    </cfRule>
    <cfRule type="cellIs" dxfId="66" priority="6" operator="between">
      <formula>50</formula>
      <formula>60</formula>
    </cfRule>
  </conditionalFormatting>
  <conditionalFormatting sqref="AO6:AR6">
    <cfRule type="expression" dxfId="6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D4BD-6747-42AF-B1FE-81E00C1168C8}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10" width="10.26953125" bestFit="1" customWidth="1"/>
    <col min="11" max="12" width="10.26953125" customWidth="1"/>
    <col min="13" max="33" width="10.26953125" bestFit="1" customWidth="1"/>
    <col min="34" max="36" width="10.26953125" customWidth="1"/>
    <col min="37" max="37" width="13" customWidth="1"/>
    <col min="38" max="38" width="14.54296875" customWidth="1"/>
    <col min="39" max="39" width="20.1796875" customWidth="1"/>
    <col min="40" max="40" width="16.26953125" customWidth="1"/>
    <col min="41" max="41" width="9.1796875" customWidth="1"/>
    <col min="42" max="42" width="0.26953125" customWidth="1"/>
    <col min="43" max="43" width="16.7265625" customWidth="1"/>
    <col min="44" max="44" width="16" customWidth="1"/>
    <col min="45" max="45" width="15.26953125" customWidth="1"/>
    <col min="46" max="46" width="15.54296875" customWidth="1"/>
    <col min="47" max="47" width="16" customWidth="1"/>
  </cols>
  <sheetData>
    <row r="3" spans="1:47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7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8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4" priority="8" operator="between">
      <formula>1</formula>
      <formula>5</formula>
    </cfRule>
    <cfRule type="cellIs" dxfId="63" priority="9" operator="lessThan">
      <formula>1</formula>
    </cfRule>
    <cfRule type="containsText" dxfId="62" priority="10" operator="containsText" text="0">
      <formula>NOT(ISERROR(SEARCH("0",C5)))</formula>
    </cfRule>
    <cfRule type="containsText" dxfId="61" priority="11" operator="containsText" text="0">
      <formula>NOT(ISERROR(SEARCH("0",C5)))</formula>
    </cfRule>
    <cfRule type="containsText" dxfId="60" priority="12" operator="containsText" text="1">
      <formula>NOT(ISERROR(SEARCH("1",C5)))</formula>
    </cfRule>
    <cfRule type="containsText" dxfId="59" priority="13" operator="containsText" text="0">
      <formula>NOT(ISERROR(SEARCH("0",C5)))</formula>
    </cfRule>
  </conditionalFormatting>
  <conditionalFormatting sqref="C26:AJ26">
    <cfRule type="cellIs" dxfId="58" priority="1" operator="between">
      <formula>40</formula>
      <formula>50</formula>
    </cfRule>
    <cfRule type="cellIs" dxfId="57" priority="3" operator="greaterThan">
      <formula>70</formula>
    </cfRule>
    <cfRule type="cellIs" dxfId="56" priority="4" operator="between">
      <formula>60</formula>
      <formula>70</formula>
    </cfRule>
    <cfRule type="cellIs" dxfId="55" priority="5" operator="lessThan">
      <formula>40</formula>
    </cfRule>
    <cfRule type="cellIs" dxfId="54" priority="6" operator="between">
      <formula>50</formula>
      <formula>60</formula>
    </cfRule>
  </conditionalFormatting>
  <conditionalFormatting sqref="C27:AJ27">
    <cfRule type="cellIs" dxfId="53" priority="7" operator="between">
      <formula>70</formula>
      <formula>100</formula>
    </cfRule>
  </conditionalFormatting>
  <conditionalFormatting sqref="AR6:AU6">
    <cfRule type="expression" dxfId="5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B4C1-5366-47ED-9661-AD707B071D8B}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R23" sqref="R23:R24"/>
    </sheetView>
  </sheetViews>
  <sheetFormatPr defaultRowHeight="14.5"/>
  <cols>
    <col min="1" max="1" width="4" style="2" customWidth="1"/>
    <col min="2" max="2" width="65.26953125" style="2" customWidth="1"/>
    <col min="3" max="3" width="11.1796875" style="2" bestFit="1" customWidth="1"/>
    <col min="4" max="4" width="24.7265625" bestFit="1" customWidth="1"/>
    <col min="5" max="5" width="18.7265625" bestFit="1" customWidth="1"/>
    <col min="6" max="6" width="11.1796875" bestFit="1" customWidth="1"/>
    <col min="7" max="7" width="15.54296875" bestFit="1" customWidth="1"/>
    <col min="8" max="8" width="15.1796875" bestFit="1" customWidth="1"/>
    <col min="9" max="9" width="11.1796875" bestFit="1" customWidth="1"/>
    <col min="10" max="10" width="15.1796875" bestFit="1" customWidth="1"/>
    <col min="11" max="12" width="18.7265625" bestFit="1" customWidth="1"/>
    <col min="13" max="17" width="15.1796875" bestFit="1" customWidth="1"/>
    <col min="18" max="18" width="11.1796875" bestFit="1" customWidth="1"/>
    <col min="19" max="34" width="15.1796875" bestFit="1" customWidth="1"/>
    <col min="35" max="35" width="18.7265625" bestFit="1" customWidth="1"/>
    <col min="36" max="38" width="11.1796875" bestFit="1" customWidth="1"/>
    <col min="39" max="39" width="24.7265625" bestFit="1" customWidth="1"/>
    <col min="40" max="40" width="14.54296875" customWidth="1"/>
    <col min="41" max="41" width="20.1796875" customWidth="1"/>
    <col min="42" max="42" width="16.26953125" customWidth="1"/>
    <col min="43" max="43" width="9.1796875" customWidth="1"/>
    <col min="44" max="44" width="0.26953125" customWidth="1"/>
    <col min="45" max="45" width="16.7265625" customWidth="1"/>
    <col min="46" max="46" width="16" customWidth="1"/>
    <col min="47" max="47" width="15.26953125" customWidth="1"/>
    <col min="48" max="48" width="15.54296875" customWidth="1"/>
    <col min="49" max="49" width="16" customWidth="1"/>
  </cols>
  <sheetData>
    <row r="3" spans="1:49" ht="50.25" customHeight="1">
      <c r="A3" s="75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27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27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6">
        <f t="shared" si="0"/>
        <v>0</v>
      </c>
      <c r="AN6" s="14">
        <f t="shared" si="1"/>
        <v>0</v>
      </c>
      <c r="AO6" s="11">
        <f t="shared" si="2"/>
        <v>0</v>
      </c>
      <c r="AP6" s="10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27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26">
        <f t="shared" si="0"/>
        <v>0</v>
      </c>
      <c r="AN7" s="14">
        <f t="shared" si="1"/>
        <v>0</v>
      </c>
      <c r="AO7" s="11">
        <f t="shared" si="2"/>
        <v>0</v>
      </c>
      <c r="AP7" s="10">
        <f t="shared" si="3"/>
        <v>0</v>
      </c>
    </row>
    <row r="8" spans="1:49" ht="27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26">
        <f t="shared" si="0"/>
        <v>0</v>
      </c>
      <c r="AN8" s="14">
        <f t="shared" si="1"/>
        <v>0</v>
      </c>
      <c r="AO8" s="11">
        <f t="shared" si="2"/>
        <v>0</v>
      </c>
      <c r="AP8" s="10">
        <f t="shared" si="3"/>
        <v>0</v>
      </c>
    </row>
    <row r="9" spans="1:49" ht="27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6">
        <f t="shared" si="0"/>
        <v>0</v>
      </c>
      <c r="AN9" s="14">
        <f t="shared" si="1"/>
        <v>0</v>
      </c>
      <c r="AO9" s="11">
        <f t="shared" si="2"/>
        <v>0</v>
      </c>
      <c r="AP9" s="10">
        <f t="shared" si="3"/>
        <v>0</v>
      </c>
    </row>
    <row r="10" spans="1:49" ht="27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26">
        <f t="shared" si="0"/>
        <v>0</v>
      </c>
      <c r="AN10" s="14">
        <f t="shared" si="1"/>
        <v>0</v>
      </c>
      <c r="AO10" s="11">
        <f t="shared" si="2"/>
        <v>0</v>
      </c>
      <c r="AP10" s="10">
        <f t="shared" si="3"/>
        <v>0</v>
      </c>
    </row>
    <row r="11" spans="1:49" ht="27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26">
        <f t="shared" si="0"/>
        <v>0</v>
      </c>
      <c r="AN11" s="14">
        <f t="shared" si="1"/>
        <v>0</v>
      </c>
      <c r="AO11" s="11">
        <f t="shared" si="2"/>
        <v>0</v>
      </c>
      <c r="AP11" s="10">
        <f t="shared" si="3"/>
        <v>0</v>
      </c>
    </row>
    <row r="12" spans="1:49" ht="27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26">
        <f t="shared" si="0"/>
        <v>0</v>
      </c>
      <c r="AN12" s="14">
        <f t="shared" si="1"/>
        <v>0</v>
      </c>
      <c r="AO12" s="11">
        <f t="shared" si="2"/>
        <v>0</v>
      </c>
      <c r="AP12" s="10">
        <f t="shared" si="3"/>
        <v>0</v>
      </c>
    </row>
    <row r="13" spans="1:49" ht="27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26">
        <f t="shared" si="0"/>
        <v>0</v>
      </c>
      <c r="AN13" s="14">
        <f t="shared" si="1"/>
        <v>0</v>
      </c>
      <c r="AO13" s="11">
        <f t="shared" si="2"/>
        <v>0</v>
      </c>
      <c r="AP13" s="10">
        <f t="shared" si="3"/>
        <v>0</v>
      </c>
    </row>
    <row r="14" spans="1:49" ht="2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7.5" thickBot="1">
      <c r="A25" s="77" t="s">
        <v>19</v>
      </c>
      <c r="B25" s="78"/>
      <c r="C25" s="4" t="e">
        <f t="shared" ref="C25:AM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4" t="e">
        <f t="shared" si="4"/>
        <v>#DIV/0!</v>
      </c>
      <c r="AL25" s="4" t="e">
        <f t="shared" si="4"/>
        <v>#DIV/0!</v>
      </c>
      <c r="AM25" s="4">
        <f t="shared" si="4"/>
        <v>0</v>
      </c>
      <c r="AN25" s="19">
        <f>SUM(AN5:AN24)</f>
        <v>0</v>
      </c>
      <c r="AO25" s="19">
        <f>SUM(AO5:AO24)</f>
        <v>0</v>
      </c>
      <c r="AP25" s="19">
        <f>SUM(AP5:AP24)</f>
        <v>0</v>
      </c>
    </row>
    <row r="26" spans="1:42" ht="51.75" customHeight="1" thickTop="1" thickBot="1">
      <c r="A26" s="22"/>
      <c r="B26" s="23" t="s">
        <v>34</v>
      </c>
      <c r="C26" s="30" t="e">
        <f t="shared" ref="C26:AM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30" t="e">
        <f t="shared" si="5"/>
        <v>#DIV/0!</v>
      </c>
      <c r="AM26" s="30">
        <f t="shared" si="5"/>
        <v>0</v>
      </c>
      <c r="AN26" s="19"/>
      <c r="AO26" s="19"/>
      <c r="AP26" s="19"/>
    </row>
    <row r="27" spans="1:42" ht="28" thickTop="1" thickBot="1">
      <c r="A27" s="79" t="s">
        <v>4</v>
      </c>
      <c r="B27" s="80"/>
      <c r="C27" s="30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si="6"/>
        <v>#DIV/0!</v>
      </c>
      <c r="AL27" s="30" t="e">
        <f t="shared" si="6"/>
        <v>#DIV/0!</v>
      </c>
      <c r="AM27" s="30" t="str">
        <f t="shared" si="6"/>
        <v xml:space="preserve"> يحتاج الى تدخل سريع</v>
      </c>
    </row>
    <row r="28" spans="1:42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1" priority="1" operator="between">
      <formula>40</formula>
      <formula>50</formula>
    </cfRule>
    <cfRule type="cellIs" dxfId="50" priority="3" operator="greaterThan">
      <formula>70</formula>
    </cfRule>
    <cfRule type="cellIs" dxfId="49" priority="4" operator="between">
      <formula>60</formula>
      <formula>70</formula>
    </cfRule>
    <cfRule type="cellIs" dxfId="48" priority="5" operator="lessThan">
      <formula>40</formula>
    </cfRule>
    <cfRule type="cellIs" dxfId="47" priority="6" operator="between">
      <formula>50</formula>
      <formula>60</formula>
    </cfRule>
  </conditionalFormatting>
  <conditionalFormatting sqref="C27:AM27">
    <cfRule type="cellIs" dxfId="46" priority="7" operator="between">
      <formula>70</formula>
      <formula>100</formula>
    </cfRule>
  </conditionalFormatting>
  <conditionalFormatting sqref="D5:AL24">
    <cfRule type="cellIs" dxfId="45" priority="8" operator="between">
      <formula>1</formula>
      <formula>5</formula>
    </cfRule>
    <cfRule type="cellIs" dxfId="44" priority="9" operator="lessThan">
      <formula>1</formula>
    </cfRule>
    <cfRule type="containsText" dxfId="43" priority="10" operator="containsText" text="0">
      <formula>NOT(ISERROR(SEARCH("0",D5)))</formula>
    </cfRule>
    <cfRule type="containsText" dxfId="42" priority="11" operator="containsText" text="0">
      <formula>NOT(ISERROR(SEARCH("0",D5)))</formula>
    </cfRule>
    <cfRule type="containsText" dxfId="41" priority="12" operator="containsText" text="1">
      <formula>NOT(ISERROR(SEARCH("1",D5)))</formula>
    </cfRule>
    <cfRule type="containsText" dxfId="40" priority="13" operator="containsText" text="0">
      <formula>NOT(ISERROR(SEARCH("0",D5)))</formula>
    </cfRule>
  </conditionalFormatting>
  <conditionalFormatting sqref="AT6:AW6">
    <cfRule type="expression" dxfId="3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2961-84B9-4A04-8145-D9A4CA964F24}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7" width="10.26953125" bestFit="1" customWidth="1"/>
    <col min="8" max="8" width="10.26953125" customWidth="1"/>
    <col min="9" max="11" width="10.26953125" bestFit="1" customWidth="1"/>
    <col min="12" max="13" width="10.26953125" customWidth="1"/>
    <col min="14" max="34" width="10.26953125" bestFit="1" customWidth="1"/>
    <col min="35" max="35" width="10.26953125" customWidth="1"/>
    <col min="36" max="36" width="13" customWidth="1"/>
    <col min="37" max="37" width="14.54296875" customWidth="1"/>
    <col min="38" max="38" width="20.1796875" customWidth="1"/>
    <col min="39" max="39" width="16.26953125" customWidth="1"/>
    <col min="40" max="40" width="9.1796875" customWidth="1"/>
    <col min="41" max="41" width="0.26953125" customWidth="1"/>
    <col min="42" max="42" width="16.7265625" customWidth="1"/>
    <col min="43" max="43" width="16" customWidth="1"/>
    <col min="44" max="44" width="15.26953125" customWidth="1"/>
    <col min="45" max="45" width="15.5429687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7.5" thickBot="1">
      <c r="A25" s="77" t="s">
        <v>19</v>
      </c>
      <c r="B25" s="78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8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38" priority="8" operator="between">
      <formula>1</formula>
      <formula>5</formula>
    </cfRule>
    <cfRule type="cellIs" dxfId="37" priority="9" operator="lessThan">
      <formula>1</formula>
    </cfRule>
    <cfRule type="containsText" dxfId="36" priority="10" operator="containsText" text="0">
      <formula>NOT(ISERROR(SEARCH("0",C5)))</formula>
    </cfRule>
    <cfRule type="containsText" dxfId="35" priority="11" operator="containsText" text="0">
      <formula>NOT(ISERROR(SEARCH("0",C5)))</formula>
    </cfRule>
    <cfRule type="containsText" dxfId="34" priority="12" operator="containsText" text="1">
      <formula>NOT(ISERROR(SEARCH("1",C5)))</formula>
    </cfRule>
    <cfRule type="containsText" dxfId="33" priority="13" operator="containsText" text="0">
      <formula>NOT(ISERROR(SEARCH("0",C5)))</formula>
    </cfRule>
  </conditionalFormatting>
  <conditionalFormatting sqref="C26:AK26">
    <cfRule type="cellIs" dxfId="32" priority="1" operator="between">
      <formula>40</formula>
      <formula>50</formula>
    </cfRule>
    <cfRule type="cellIs" dxfId="31" priority="3" operator="greaterThan">
      <formula>70</formula>
    </cfRule>
    <cfRule type="cellIs" dxfId="30" priority="4" operator="between">
      <formula>60</formula>
      <formula>70</formula>
    </cfRule>
    <cfRule type="cellIs" dxfId="29" priority="5" operator="lessThan">
      <formula>40</formula>
    </cfRule>
    <cfRule type="cellIs" dxfId="28" priority="6" operator="between">
      <formula>50</formula>
      <formula>60</formula>
    </cfRule>
  </conditionalFormatting>
  <conditionalFormatting sqref="C27:AK27">
    <cfRule type="cellIs" dxfId="27" priority="7" operator="between">
      <formula>70</formula>
      <formula>100</formula>
    </cfRule>
  </conditionalFormatting>
  <conditionalFormatting sqref="AQ6:AT6">
    <cfRule type="expression" dxfId="2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E88E-5ABF-437A-A6F7-F79260F6B53D}">
  <sheetPr>
    <tabColor rgb="FFFFC000"/>
  </sheetPr>
  <dimension ref="A3:AS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AO6" sqref="AO6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5" width="14.54296875" customWidth="1"/>
    <col min="6" max="7" width="10.26953125" bestFit="1" customWidth="1"/>
    <col min="8" max="8" width="10.26953125" customWidth="1"/>
    <col min="9" max="9" width="14.1796875" bestFit="1" customWidth="1"/>
    <col min="10" max="11" width="10.26953125" bestFit="1" customWidth="1"/>
    <col min="12" max="13" width="10.26953125" customWidth="1"/>
    <col min="14" max="15" width="10.26953125" bestFit="1" customWidth="1"/>
    <col min="16" max="16" width="10.26953125" customWidth="1"/>
    <col min="17" max="34" width="10.26953125" bestFit="1" customWidth="1"/>
    <col min="35" max="35" width="13" customWidth="1"/>
    <col min="36" max="36" width="14.54296875" customWidth="1"/>
    <col min="37" max="37" width="20.1796875" customWidth="1"/>
    <col min="38" max="38" width="16.26953125" customWidth="1"/>
    <col min="39" max="39" width="9.1796875" customWidth="1"/>
    <col min="40" max="40" width="0.26953125" customWidth="1"/>
    <col min="41" max="41" width="16.7265625" customWidth="1"/>
    <col min="42" max="42" width="16" customWidth="1"/>
    <col min="43" max="43" width="15.26953125" customWidth="1"/>
    <col min="44" max="44" width="15.54296875" customWidth="1"/>
    <col min="45" max="45" width="16" customWidth="1"/>
  </cols>
  <sheetData>
    <row r="3" spans="1:45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>
      <c r="A4" s="76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"/>
      <c r="AA6" s="9"/>
      <c r="AB6" s="9"/>
      <c r="AC6" s="9"/>
      <c r="AD6" s="9"/>
      <c r="AE6" s="9"/>
      <c r="AF6" s="9"/>
      <c r="AG6" s="9"/>
      <c r="AH6" s="9"/>
      <c r="AI6" s="26">
        <f t="shared" si="0"/>
        <v>0</v>
      </c>
      <c r="AJ6" s="14">
        <f t="shared" si="1"/>
        <v>0</v>
      </c>
      <c r="AK6" s="34">
        <f t="shared" si="2"/>
        <v>0</v>
      </c>
      <c r="AL6" s="10">
        <f t="shared" si="3"/>
        <v>0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9"/>
      <c r="AA7" s="9"/>
      <c r="AB7" s="9"/>
      <c r="AC7" s="9"/>
      <c r="AD7" s="9"/>
      <c r="AE7" s="9"/>
      <c r="AF7" s="9"/>
      <c r="AG7" s="9"/>
      <c r="AH7" s="9"/>
      <c r="AI7" s="26">
        <f t="shared" si="0"/>
        <v>0</v>
      </c>
      <c r="AJ7" s="14">
        <f t="shared" si="1"/>
        <v>0</v>
      </c>
      <c r="AK7" s="34">
        <f t="shared" si="2"/>
        <v>0</v>
      </c>
      <c r="AL7" s="10">
        <f t="shared" si="3"/>
        <v>0</v>
      </c>
    </row>
    <row r="8" spans="1:45" ht="2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9"/>
      <c r="AA8" s="9"/>
      <c r="AB8" s="9"/>
      <c r="AC8" s="9"/>
      <c r="AD8" s="9"/>
      <c r="AE8" s="9"/>
      <c r="AF8" s="9"/>
      <c r="AG8" s="9"/>
      <c r="AH8" s="9"/>
      <c r="AI8" s="26">
        <f t="shared" si="0"/>
        <v>0</v>
      </c>
      <c r="AJ8" s="14">
        <f t="shared" si="1"/>
        <v>0</v>
      </c>
      <c r="AK8" s="34">
        <f t="shared" si="2"/>
        <v>0</v>
      </c>
      <c r="AL8" s="10">
        <f t="shared" si="3"/>
        <v>0</v>
      </c>
    </row>
    <row r="9" spans="1:45" ht="2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9"/>
      <c r="AA9" s="9"/>
      <c r="AB9" s="9"/>
      <c r="AC9" s="9"/>
      <c r="AD9" s="9"/>
      <c r="AE9" s="9"/>
      <c r="AF9" s="9"/>
      <c r="AG9" s="9"/>
      <c r="AH9" s="9"/>
      <c r="AI9" s="26">
        <f t="shared" si="0"/>
        <v>0</v>
      </c>
      <c r="AJ9" s="14">
        <f t="shared" si="1"/>
        <v>0</v>
      </c>
      <c r="AK9" s="34">
        <f t="shared" si="2"/>
        <v>0</v>
      </c>
      <c r="AL9" s="10">
        <f t="shared" si="3"/>
        <v>0</v>
      </c>
    </row>
    <row r="10" spans="1:45" ht="2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9"/>
      <c r="AA10" s="9"/>
      <c r="AB10" s="9"/>
      <c r="AC10" s="9"/>
      <c r="AD10" s="9"/>
      <c r="AE10" s="9"/>
      <c r="AF10" s="9"/>
      <c r="AG10" s="9"/>
      <c r="AH10" s="9"/>
      <c r="AI10" s="26">
        <f t="shared" si="0"/>
        <v>0</v>
      </c>
      <c r="AJ10" s="14">
        <f t="shared" si="1"/>
        <v>0</v>
      </c>
      <c r="AK10" s="34">
        <f t="shared" si="2"/>
        <v>0</v>
      </c>
      <c r="AL10" s="10">
        <f t="shared" si="3"/>
        <v>0</v>
      </c>
    </row>
    <row r="11" spans="1:45" ht="2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9"/>
      <c r="AA11" s="9"/>
      <c r="AB11" s="9"/>
      <c r="AC11" s="9"/>
      <c r="AD11" s="9"/>
      <c r="AE11" s="9"/>
      <c r="AF11" s="9"/>
      <c r="AG11" s="9"/>
      <c r="AH11" s="9"/>
      <c r="AI11" s="26">
        <f t="shared" si="0"/>
        <v>0</v>
      </c>
      <c r="AJ11" s="14">
        <f t="shared" si="1"/>
        <v>0</v>
      </c>
      <c r="AK11" s="34">
        <f t="shared" si="2"/>
        <v>0</v>
      </c>
      <c r="AL11" s="10">
        <f t="shared" si="3"/>
        <v>0</v>
      </c>
    </row>
    <row r="12" spans="1:45" ht="2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9"/>
      <c r="AA12" s="9"/>
      <c r="AB12" s="9"/>
      <c r="AC12" s="9"/>
      <c r="AD12" s="9"/>
      <c r="AE12" s="9"/>
      <c r="AF12" s="9"/>
      <c r="AG12" s="9"/>
      <c r="AH12" s="9"/>
      <c r="AI12" s="26">
        <f t="shared" si="0"/>
        <v>0</v>
      </c>
      <c r="AJ12" s="14">
        <f t="shared" si="1"/>
        <v>0</v>
      </c>
      <c r="AK12" s="34">
        <f t="shared" si="2"/>
        <v>0</v>
      </c>
      <c r="AL12" s="10">
        <f t="shared" si="3"/>
        <v>0</v>
      </c>
    </row>
    <row r="13" spans="1:45" ht="2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9"/>
      <c r="AB13" s="9"/>
      <c r="AC13" s="9"/>
      <c r="AD13" s="9"/>
      <c r="AE13" s="9"/>
      <c r="AF13" s="9"/>
      <c r="AG13" s="9"/>
      <c r="AH13" s="9"/>
      <c r="AI13" s="26">
        <f t="shared" si="0"/>
        <v>0</v>
      </c>
      <c r="AJ13" s="14">
        <f t="shared" si="1"/>
        <v>0</v>
      </c>
      <c r="AK13" s="34">
        <f t="shared" si="2"/>
        <v>0</v>
      </c>
      <c r="AL13" s="10">
        <f t="shared" si="3"/>
        <v>0</v>
      </c>
    </row>
    <row r="14" spans="1:45" ht="2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7.5" thickBot="1">
      <c r="A25" s="77" t="s">
        <v>19</v>
      </c>
      <c r="B25" s="78"/>
      <c r="C25" s="4" t="e">
        <f>AVERAGE(C5:C24)</f>
        <v>#DIV/0!</v>
      </c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26" t="e">
        <f>SUM(C25:AH25)</f>
        <v>#DIV/0!</v>
      </c>
      <c r="AJ25" s="19">
        <f>SUM(AJ5:AJ24)</f>
        <v>0</v>
      </c>
      <c r="AK25" s="19">
        <f>SUM(AK5:AK24)</f>
        <v>0</v>
      </c>
      <c r="AL25" s="19">
        <f>SUM(AL5:AL24)</f>
        <v>0</v>
      </c>
    </row>
    <row r="26" spans="1:38" ht="51.75" customHeight="1" thickTop="1" thickBot="1">
      <c r="A26" s="22"/>
      <c r="B26" s="23" t="s">
        <v>34</v>
      </c>
      <c r="C26" s="30" t="e">
        <f t="shared" ref="C26:AI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19"/>
      <c r="AK26" s="19"/>
      <c r="AL26" s="19"/>
    </row>
    <row r="27" spans="1:38" ht="28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/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/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8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5" priority="8" operator="between">
      <formula>1</formula>
      <formula>5</formula>
    </cfRule>
    <cfRule type="cellIs" dxfId="24" priority="9" operator="lessThan">
      <formula>1</formula>
    </cfRule>
    <cfRule type="containsText" dxfId="23" priority="10" operator="containsText" text="0">
      <formula>NOT(ISERROR(SEARCH("0",C5)))</formula>
    </cfRule>
    <cfRule type="containsText" dxfId="22" priority="11" operator="containsText" text="0">
      <formula>NOT(ISERROR(SEARCH("0",C5)))</formula>
    </cfRule>
    <cfRule type="containsText" dxfId="21" priority="12" operator="containsText" text="1">
      <formula>NOT(ISERROR(SEARCH("1",C5)))</formula>
    </cfRule>
    <cfRule type="containsText" dxfId="20" priority="13" operator="containsText" text="0">
      <formula>NOT(ISERROR(SEARCH("0",C5)))</formula>
    </cfRule>
  </conditionalFormatting>
  <conditionalFormatting sqref="C26:AI26">
    <cfRule type="cellIs" dxfId="19" priority="1" operator="between">
      <formula>40</formula>
      <formula>50</formula>
    </cfRule>
    <cfRule type="cellIs" dxfId="18" priority="3" operator="greaterThan">
      <formula>70</formula>
    </cfRule>
    <cfRule type="cellIs" dxfId="17" priority="4" operator="between">
      <formula>60</formula>
      <formula>70</formula>
    </cfRule>
    <cfRule type="cellIs" dxfId="16" priority="5" operator="lessThan">
      <formula>40</formula>
    </cfRule>
    <cfRule type="cellIs" dxfId="15" priority="6" operator="between">
      <formula>50</formula>
      <formula>60</formula>
    </cfRule>
  </conditionalFormatting>
  <conditionalFormatting sqref="C27:AI27">
    <cfRule type="cellIs" dxfId="14" priority="7" operator="between">
      <formula>70</formula>
      <formula>100</formula>
    </cfRule>
  </conditionalFormatting>
  <conditionalFormatting sqref="AP6:AS6">
    <cfRule type="expression" dxfId="1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CF5D-B76D-4AF6-B309-EFA3CA3C2C11}">
  <sheetPr>
    <tabColor rgb="FFFFFF00"/>
  </sheetPr>
  <dimension ref="A3:BA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5"/>
  <cols>
    <col min="1" max="1" width="4" style="2" customWidth="1"/>
    <col min="2" max="2" width="37.1796875" style="2" customWidth="1"/>
    <col min="3" max="3" width="18.54296875" customWidth="1"/>
    <col min="4" max="4" width="11.1796875" bestFit="1" customWidth="1"/>
    <col min="5" max="6" width="11.1796875" customWidth="1"/>
    <col min="7" max="8" width="14.54296875" customWidth="1"/>
    <col min="9" max="10" width="10.26953125" bestFit="1" customWidth="1"/>
    <col min="11" max="12" width="10.26953125" customWidth="1"/>
    <col min="13" max="15" width="10.26953125" bestFit="1" customWidth="1"/>
    <col min="16" max="18" width="10.26953125" customWidth="1"/>
    <col min="19" max="19" width="10.26953125" bestFit="1" customWidth="1"/>
    <col min="20" max="20" width="10.26953125" customWidth="1"/>
    <col min="21" max="24" width="10.26953125" bestFit="1" customWidth="1"/>
    <col min="25" max="25" width="10.26953125" customWidth="1"/>
    <col min="26" max="27" width="10.26953125" bestFit="1" customWidth="1"/>
    <col min="28" max="28" width="10.26953125" customWidth="1"/>
    <col min="29" max="42" width="10.26953125" bestFit="1" customWidth="1"/>
    <col min="43" max="43" width="13" customWidth="1"/>
    <col min="44" max="44" width="14.54296875" customWidth="1"/>
    <col min="45" max="45" width="20.1796875" customWidth="1"/>
    <col min="46" max="46" width="22.54296875" customWidth="1"/>
    <col min="47" max="47" width="14.81640625" customWidth="1"/>
    <col min="48" max="48" width="10.26953125" customWidth="1"/>
    <col min="49" max="49" width="16.7265625" customWidth="1"/>
    <col min="50" max="50" width="16" customWidth="1"/>
    <col min="51" max="51" width="15.26953125" customWidth="1"/>
    <col min="52" max="52" width="15.54296875" customWidth="1"/>
    <col min="53" max="53" width="16" customWidth="1"/>
  </cols>
  <sheetData>
    <row r="3" spans="1:53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>
      <c r="A4" s="76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8.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9"/>
      <c r="AH5" s="9"/>
      <c r="AI5" s="9"/>
      <c r="AJ5" s="9"/>
      <c r="AK5" s="9"/>
      <c r="AL5" s="9"/>
      <c r="AM5" s="9"/>
      <c r="AN5" s="9"/>
      <c r="AO5" s="9">
        <v>1</v>
      </c>
      <c r="AP5" s="9">
        <v>1</v>
      </c>
      <c r="AQ5" s="26">
        <f t="shared" ref="AQ5:AQ24" si="0">SUM(C5:AP5)</f>
        <v>2</v>
      </c>
      <c r="AR5" s="39">
        <f t="shared" ref="AR5:AR24" si="1">AI5+AE5+AB5+U5+G5</f>
        <v>0</v>
      </c>
      <c r="AS5" s="40">
        <f t="shared" ref="AS5:AS24" si="2">AO5+AL5+AK5+AH5+AD5+Z5+X5+W5+V5+S5+J5+I5</f>
        <v>1</v>
      </c>
      <c r="AT5" s="41">
        <f t="shared" ref="AT5:AT8" si="3">AJ5+AG5+AF5+AA5+Y5+T5+R5+Q5+P5+M5+L5+K5+H5+F5+C5+AP5</f>
        <v>1</v>
      </c>
      <c r="AU5" s="42">
        <f t="shared" ref="AU5:AU24" si="4">AN5+AM5+AC5+O5+N5+E5+D5</f>
        <v>0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8.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9"/>
      <c r="AH6" s="9"/>
      <c r="AI6" s="9"/>
      <c r="AJ6" s="9"/>
      <c r="AK6" s="9"/>
      <c r="AL6" s="9"/>
      <c r="AM6" s="9"/>
      <c r="AN6" s="9"/>
      <c r="AO6" s="9"/>
      <c r="AP6" s="9">
        <v>1</v>
      </c>
      <c r="AQ6" s="26">
        <f t="shared" si="0"/>
        <v>1</v>
      </c>
      <c r="AR6" s="39">
        <f t="shared" si="1"/>
        <v>0</v>
      </c>
      <c r="AS6" s="40">
        <f t="shared" si="2"/>
        <v>0</v>
      </c>
      <c r="AT6" s="41">
        <f t="shared" si="3"/>
        <v>1</v>
      </c>
      <c r="AU6" s="42">
        <f t="shared" si="4"/>
        <v>0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8.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9"/>
      <c r="AH7" s="9"/>
      <c r="AI7" s="9"/>
      <c r="AJ7" s="9"/>
      <c r="AK7" s="9"/>
      <c r="AL7" s="9"/>
      <c r="AM7" s="9"/>
      <c r="AN7" s="9"/>
      <c r="AO7" s="9"/>
      <c r="AP7" s="9">
        <v>1</v>
      </c>
      <c r="AQ7" s="26">
        <f t="shared" si="0"/>
        <v>1</v>
      </c>
      <c r="AR7" s="39">
        <f t="shared" si="1"/>
        <v>0</v>
      </c>
      <c r="AS7" s="40">
        <f t="shared" si="2"/>
        <v>0</v>
      </c>
      <c r="AT7" s="41">
        <f t="shared" si="3"/>
        <v>1</v>
      </c>
      <c r="AU7" s="42">
        <f t="shared" si="4"/>
        <v>0</v>
      </c>
    </row>
    <row r="8" spans="1:53" ht="28.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9"/>
      <c r="AH8" s="9"/>
      <c r="AI8" s="9"/>
      <c r="AJ8" s="9"/>
      <c r="AK8" s="9"/>
      <c r="AL8" s="9"/>
      <c r="AM8" s="9"/>
      <c r="AN8" s="9"/>
      <c r="AO8" s="9"/>
      <c r="AP8" s="9">
        <v>2</v>
      </c>
      <c r="AQ8" s="26">
        <f t="shared" si="0"/>
        <v>2</v>
      </c>
      <c r="AR8" s="39">
        <f t="shared" si="1"/>
        <v>0</v>
      </c>
      <c r="AS8" s="40">
        <f t="shared" si="2"/>
        <v>0</v>
      </c>
      <c r="AT8" s="41">
        <f t="shared" si="3"/>
        <v>2</v>
      </c>
      <c r="AU8" s="42">
        <f t="shared" si="4"/>
        <v>0</v>
      </c>
    </row>
    <row r="9" spans="1:53" ht="28.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9"/>
      <c r="AH9" s="9"/>
      <c r="AI9" s="9"/>
      <c r="AJ9" s="9"/>
      <c r="AK9" s="9"/>
      <c r="AL9" s="9"/>
      <c r="AM9" s="9"/>
      <c r="AN9" s="9"/>
      <c r="AO9" s="9"/>
      <c r="AP9" s="9"/>
      <c r="AQ9" s="26">
        <f t="shared" si="0"/>
        <v>0</v>
      </c>
      <c r="AR9" s="39">
        <f t="shared" si="1"/>
        <v>0</v>
      </c>
      <c r="AS9" s="40">
        <f t="shared" si="2"/>
        <v>0</v>
      </c>
      <c r="AT9" s="41">
        <f t="shared" ref="AT9" si="5">AP9+AJ9+AG9+AF9+AA9+Y9+T9+R9+Q9+P9+M9+AG29+L9+K9+H9+F9+C9</f>
        <v>0</v>
      </c>
      <c r="AU9" s="42">
        <f t="shared" si="4"/>
        <v>0</v>
      </c>
    </row>
    <row r="10" spans="1:53" ht="28.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26">
        <f t="shared" si="0"/>
        <v>0</v>
      </c>
      <c r="AR10" s="39">
        <f t="shared" si="1"/>
        <v>0</v>
      </c>
      <c r="AS10" s="40">
        <f t="shared" si="2"/>
        <v>0</v>
      </c>
      <c r="AT10" s="41">
        <f t="shared" ref="AT10:AT24" si="6">AP10+AJ10+AG10+AF10+AA10+Y10+T10+R10+Q10+P10+M10+AG30+L10+K10+H10+F10+C10</f>
        <v>0</v>
      </c>
      <c r="AU10" s="42">
        <f t="shared" si="4"/>
        <v>0</v>
      </c>
    </row>
    <row r="11" spans="1:53" ht="28.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26">
        <f t="shared" si="0"/>
        <v>0</v>
      </c>
      <c r="AR11" s="39">
        <f t="shared" si="1"/>
        <v>0</v>
      </c>
      <c r="AS11" s="40">
        <f t="shared" si="2"/>
        <v>0</v>
      </c>
      <c r="AT11" s="41">
        <f t="shared" si="6"/>
        <v>0</v>
      </c>
      <c r="AU11" s="42">
        <f t="shared" si="4"/>
        <v>0</v>
      </c>
    </row>
    <row r="12" spans="1:53" ht="28.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26">
        <f t="shared" si="0"/>
        <v>0</v>
      </c>
      <c r="AR12" s="39">
        <f t="shared" si="1"/>
        <v>0</v>
      </c>
      <c r="AS12" s="40">
        <f t="shared" si="2"/>
        <v>0</v>
      </c>
      <c r="AT12" s="41">
        <f t="shared" si="6"/>
        <v>0</v>
      </c>
      <c r="AU12" s="42">
        <f t="shared" si="4"/>
        <v>0</v>
      </c>
    </row>
    <row r="13" spans="1:53" ht="28.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26">
        <f t="shared" si="0"/>
        <v>0</v>
      </c>
      <c r="AR13" s="39">
        <f t="shared" si="1"/>
        <v>0</v>
      </c>
      <c r="AS13" s="40">
        <f t="shared" si="2"/>
        <v>0</v>
      </c>
      <c r="AT13" s="41">
        <f t="shared" si="6"/>
        <v>0</v>
      </c>
      <c r="AU13" s="42">
        <f t="shared" si="4"/>
        <v>0</v>
      </c>
    </row>
    <row r="14" spans="1:53" ht="28.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8.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8.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8.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8.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8.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8.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8.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8.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8.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8.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7.5" thickBot="1">
      <c r="A25" s="77" t="s">
        <v>19</v>
      </c>
      <c r="B25" s="78"/>
      <c r="C25" s="4" t="e">
        <f>AVERAGE(C5:C24)</f>
        <v>#DIV/0!</v>
      </c>
      <c r="D25" s="4" t="e">
        <f t="shared" ref="D25:AQ25" si="7">AVERAGE(D5:D24)</f>
        <v>#DIV/0!</v>
      </c>
      <c r="E25" s="4" t="e">
        <f t="shared" si="7"/>
        <v>#DIV/0!</v>
      </c>
      <c r="F25" s="4" t="e">
        <f t="shared" si="7"/>
        <v>#DIV/0!</v>
      </c>
      <c r="G25" s="4" t="e">
        <f t="shared" si="7"/>
        <v>#DIV/0!</v>
      </c>
      <c r="H25" s="4" t="e">
        <f t="shared" si="7"/>
        <v>#DIV/0!</v>
      </c>
      <c r="I25" s="4" t="e">
        <f t="shared" si="7"/>
        <v>#DIV/0!</v>
      </c>
      <c r="J25" s="4" t="e">
        <f t="shared" si="7"/>
        <v>#DIV/0!</v>
      </c>
      <c r="K25" s="4" t="e">
        <f t="shared" si="7"/>
        <v>#DIV/0!</v>
      </c>
      <c r="L25" s="4" t="e">
        <f t="shared" si="7"/>
        <v>#DIV/0!</v>
      </c>
      <c r="M25" s="4" t="e">
        <f t="shared" si="7"/>
        <v>#DIV/0!</v>
      </c>
      <c r="N25" s="4" t="e">
        <f t="shared" si="7"/>
        <v>#DIV/0!</v>
      </c>
      <c r="O25" s="4" t="e">
        <f t="shared" si="7"/>
        <v>#DIV/0!</v>
      </c>
      <c r="P25" s="4" t="e">
        <f t="shared" si="7"/>
        <v>#DIV/0!</v>
      </c>
      <c r="Q25" s="4" t="e">
        <f t="shared" si="7"/>
        <v>#DIV/0!</v>
      </c>
      <c r="R25" s="4" t="e">
        <f t="shared" si="7"/>
        <v>#DIV/0!</v>
      </c>
      <c r="S25" s="4" t="e">
        <f t="shared" si="7"/>
        <v>#DIV/0!</v>
      </c>
      <c r="T25" s="4" t="e">
        <f t="shared" si="7"/>
        <v>#DIV/0!</v>
      </c>
      <c r="U25" s="4" t="e">
        <f t="shared" si="7"/>
        <v>#DIV/0!</v>
      </c>
      <c r="V25" s="4" t="e">
        <f t="shared" si="7"/>
        <v>#DIV/0!</v>
      </c>
      <c r="W25" s="4" t="e">
        <f t="shared" si="7"/>
        <v>#DIV/0!</v>
      </c>
      <c r="X25" s="4" t="e">
        <f t="shared" si="7"/>
        <v>#DIV/0!</v>
      </c>
      <c r="Y25" s="4" t="e">
        <f t="shared" si="7"/>
        <v>#DIV/0!</v>
      </c>
      <c r="Z25" s="4" t="e">
        <f t="shared" si="7"/>
        <v>#DIV/0!</v>
      </c>
      <c r="AA25" s="4" t="e">
        <f t="shared" si="7"/>
        <v>#DIV/0!</v>
      </c>
      <c r="AB25" s="4" t="e">
        <f t="shared" si="7"/>
        <v>#DIV/0!</v>
      </c>
      <c r="AC25" s="4" t="e">
        <f t="shared" si="7"/>
        <v>#DIV/0!</v>
      </c>
      <c r="AD25" s="4" t="e">
        <f t="shared" si="7"/>
        <v>#DIV/0!</v>
      </c>
      <c r="AE25" s="4" t="e">
        <f t="shared" si="7"/>
        <v>#DIV/0!</v>
      </c>
      <c r="AF25" s="4" t="e">
        <f t="shared" si="7"/>
        <v>#DIV/0!</v>
      </c>
      <c r="AG25" s="4" t="e">
        <f t="shared" si="7"/>
        <v>#DIV/0!</v>
      </c>
      <c r="AH25" s="4" t="e">
        <f t="shared" si="7"/>
        <v>#DIV/0!</v>
      </c>
      <c r="AI25" s="4" t="e">
        <f t="shared" si="7"/>
        <v>#DIV/0!</v>
      </c>
      <c r="AJ25" s="4" t="e">
        <f t="shared" si="7"/>
        <v>#DIV/0!</v>
      </c>
      <c r="AK25" s="4" t="e">
        <f t="shared" si="7"/>
        <v>#DIV/0!</v>
      </c>
      <c r="AL25" s="4" t="e">
        <f t="shared" si="7"/>
        <v>#DIV/0!</v>
      </c>
      <c r="AM25" s="4" t="e">
        <f t="shared" si="7"/>
        <v>#DIV/0!</v>
      </c>
      <c r="AN25" s="4" t="e">
        <f t="shared" si="7"/>
        <v>#DIV/0!</v>
      </c>
      <c r="AO25" s="4">
        <f t="shared" si="7"/>
        <v>1</v>
      </c>
      <c r="AP25" s="4">
        <f t="shared" si="7"/>
        <v>1.25</v>
      </c>
      <c r="AQ25" s="4">
        <f t="shared" si="7"/>
        <v>0.3</v>
      </c>
      <c r="AR25" s="26" t="e">
        <f>SUM(D25:AQ25)</f>
        <v>#DIV/0!</v>
      </c>
      <c r="AS25" s="19">
        <f>SUM(AS5:AS24)</f>
        <v>1</v>
      </c>
      <c r="AT25" s="19">
        <f>SUM(AT5:AT24)</f>
        <v>5</v>
      </c>
    </row>
    <row r="26" spans="1:47" ht="51.75" customHeight="1" thickTop="1" thickBot="1">
      <c r="A26" s="22"/>
      <c r="B26" s="23" t="s">
        <v>34</v>
      </c>
      <c r="C26" s="30" t="e">
        <f t="shared" ref="C26:AR26" si="8">C25/C4*100</f>
        <v>#DIV/0!</v>
      </c>
      <c r="D26" s="30" t="e">
        <f t="shared" si="8"/>
        <v>#DIV/0!</v>
      </c>
      <c r="E26" s="30" t="e">
        <f t="shared" si="8"/>
        <v>#DIV/0!</v>
      </c>
      <c r="F26" s="30" t="e">
        <f t="shared" si="8"/>
        <v>#DIV/0!</v>
      </c>
      <c r="G26" s="30" t="e">
        <f t="shared" si="8"/>
        <v>#DIV/0!</v>
      </c>
      <c r="H26" s="30" t="e">
        <f t="shared" si="8"/>
        <v>#DIV/0!</v>
      </c>
      <c r="I26" s="30" t="e">
        <f t="shared" si="8"/>
        <v>#DIV/0!</v>
      </c>
      <c r="J26" s="30" t="e">
        <f t="shared" si="8"/>
        <v>#DIV/0!</v>
      </c>
      <c r="K26" s="30" t="e">
        <f t="shared" si="8"/>
        <v>#DIV/0!</v>
      </c>
      <c r="L26" s="30" t="e">
        <f t="shared" si="8"/>
        <v>#DIV/0!</v>
      </c>
      <c r="M26" s="30" t="e">
        <f t="shared" si="8"/>
        <v>#DIV/0!</v>
      </c>
      <c r="N26" s="30" t="e">
        <f t="shared" si="8"/>
        <v>#DIV/0!</v>
      </c>
      <c r="O26" s="30" t="e">
        <f t="shared" si="8"/>
        <v>#DIV/0!</v>
      </c>
      <c r="P26" s="30" t="e">
        <f t="shared" si="8"/>
        <v>#DIV/0!</v>
      </c>
      <c r="Q26" s="30" t="e">
        <f t="shared" si="8"/>
        <v>#DIV/0!</v>
      </c>
      <c r="R26" s="30" t="e">
        <f t="shared" si="8"/>
        <v>#DIV/0!</v>
      </c>
      <c r="S26" s="30" t="e">
        <f t="shared" si="8"/>
        <v>#DIV/0!</v>
      </c>
      <c r="T26" s="30" t="e">
        <f t="shared" si="8"/>
        <v>#DIV/0!</v>
      </c>
      <c r="U26" s="30" t="e">
        <f t="shared" si="8"/>
        <v>#DIV/0!</v>
      </c>
      <c r="V26" s="30" t="e">
        <f t="shared" si="8"/>
        <v>#DIV/0!</v>
      </c>
      <c r="W26" s="30" t="e">
        <f t="shared" si="8"/>
        <v>#DIV/0!</v>
      </c>
      <c r="X26" s="30" t="e">
        <f t="shared" si="8"/>
        <v>#DIV/0!</v>
      </c>
      <c r="Y26" s="30" t="e">
        <f t="shared" si="8"/>
        <v>#DIV/0!</v>
      </c>
      <c r="Z26" s="30" t="e">
        <f t="shared" si="8"/>
        <v>#DIV/0!</v>
      </c>
      <c r="AA26" s="30" t="e">
        <f t="shared" si="8"/>
        <v>#DIV/0!</v>
      </c>
      <c r="AB26" s="30" t="e">
        <f t="shared" si="8"/>
        <v>#DIV/0!</v>
      </c>
      <c r="AC26" s="30" t="e">
        <f t="shared" si="8"/>
        <v>#DIV/0!</v>
      </c>
      <c r="AD26" s="30" t="e">
        <f t="shared" si="8"/>
        <v>#DIV/0!</v>
      </c>
      <c r="AE26" s="30" t="e">
        <f t="shared" si="8"/>
        <v>#DIV/0!</v>
      </c>
      <c r="AF26" s="30" t="e">
        <f t="shared" si="8"/>
        <v>#DIV/0!</v>
      </c>
      <c r="AG26" s="30" t="e">
        <f t="shared" si="8"/>
        <v>#DIV/0!</v>
      </c>
      <c r="AH26" s="30" t="e">
        <f t="shared" si="8"/>
        <v>#DIV/0!</v>
      </c>
      <c r="AI26" s="30" t="e">
        <f t="shared" si="8"/>
        <v>#DIV/0!</v>
      </c>
      <c r="AJ26" s="30" t="e">
        <f t="shared" si="8"/>
        <v>#DIV/0!</v>
      </c>
      <c r="AK26" s="30" t="e">
        <f t="shared" si="8"/>
        <v>#DIV/0!</v>
      </c>
      <c r="AL26" s="30" t="e">
        <f t="shared" si="8"/>
        <v>#DIV/0!</v>
      </c>
      <c r="AM26" s="30" t="e">
        <f t="shared" si="8"/>
        <v>#DIV/0!</v>
      </c>
      <c r="AN26" s="30" t="e">
        <f t="shared" si="8"/>
        <v>#DIV/0!</v>
      </c>
      <c r="AO26" s="30">
        <f t="shared" si="8"/>
        <v>100</v>
      </c>
      <c r="AP26" s="30">
        <f t="shared" si="8"/>
        <v>125</v>
      </c>
      <c r="AQ26" s="30">
        <f t="shared" si="8"/>
        <v>0.5</v>
      </c>
      <c r="AR26" s="30" t="e">
        <f t="shared" si="8"/>
        <v>#DIV/0!</v>
      </c>
      <c r="AS26" s="19"/>
      <c r="AT26" s="19"/>
    </row>
    <row r="27" spans="1:47" ht="28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R27" si="9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9"/>
        <v>#DIV/0!</v>
      </c>
      <c r="F27" s="30" t="e">
        <f t="shared" si="9"/>
        <v>#DIV/0!</v>
      </c>
      <c r="G27" s="30" t="e">
        <f t="shared" si="9"/>
        <v>#DIV/0!</v>
      </c>
      <c r="H27" s="30" t="e">
        <f t="shared" si="9"/>
        <v>#DIV/0!</v>
      </c>
      <c r="I27" s="30" t="e">
        <f t="shared" si="9"/>
        <v>#DIV/0!</v>
      </c>
      <c r="J27" s="30" t="e">
        <f t="shared" si="9"/>
        <v>#DIV/0!</v>
      </c>
      <c r="K27" s="30" t="e">
        <f t="shared" si="9"/>
        <v>#DIV/0!</v>
      </c>
      <c r="L27" s="30" t="e">
        <f t="shared" si="9"/>
        <v>#DIV/0!</v>
      </c>
      <c r="M27" s="30" t="e">
        <f t="shared" si="9"/>
        <v>#DIV/0!</v>
      </c>
      <c r="N27" s="30" t="e">
        <f t="shared" si="9"/>
        <v>#DIV/0!</v>
      </c>
      <c r="O27" s="30" t="e">
        <f t="shared" si="9"/>
        <v>#DIV/0!</v>
      </c>
      <c r="P27" s="30" t="e">
        <f t="shared" si="9"/>
        <v>#DIV/0!</v>
      </c>
      <c r="Q27" s="30" t="e">
        <f t="shared" si="9"/>
        <v>#DIV/0!</v>
      </c>
      <c r="R27" s="30" t="e">
        <f t="shared" si="9"/>
        <v>#DIV/0!</v>
      </c>
      <c r="S27" s="30" t="e">
        <f t="shared" si="9"/>
        <v>#DIV/0!</v>
      </c>
      <c r="T27" s="30" t="e">
        <f t="shared" si="9"/>
        <v>#DIV/0!</v>
      </c>
      <c r="U27" s="30" t="e">
        <f t="shared" si="9"/>
        <v>#DIV/0!</v>
      </c>
      <c r="V27" s="30" t="e">
        <f t="shared" si="9"/>
        <v>#DIV/0!</v>
      </c>
      <c r="W27" s="30" t="e">
        <f t="shared" si="9"/>
        <v>#DIV/0!</v>
      </c>
      <c r="X27" s="30" t="e">
        <f t="shared" si="9"/>
        <v>#DIV/0!</v>
      </c>
      <c r="Y27" s="30" t="e">
        <f t="shared" si="9"/>
        <v>#DIV/0!</v>
      </c>
      <c r="Z27" s="30" t="e">
        <f t="shared" si="9"/>
        <v>#DIV/0!</v>
      </c>
      <c r="AA27" s="30" t="e">
        <f t="shared" si="9"/>
        <v>#DIV/0!</v>
      </c>
      <c r="AB27" s="30" t="e">
        <f t="shared" si="9"/>
        <v>#DIV/0!</v>
      </c>
      <c r="AC27" s="30" t="e">
        <f t="shared" si="9"/>
        <v>#DIV/0!</v>
      </c>
      <c r="AD27" s="30" t="e">
        <f t="shared" si="9"/>
        <v>#DIV/0!</v>
      </c>
      <c r="AE27" s="30" t="e">
        <f t="shared" si="9"/>
        <v>#DIV/0!</v>
      </c>
      <c r="AF27" s="30" t="e">
        <f t="shared" si="9"/>
        <v>#DIV/0!</v>
      </c>
      <c r="AG27" s="30" t="e">
        <f t="shared" si="9"/>
        <v>#DIV/0!</v>
      </c>
      <c r="AH27" s="30" t="e">
        <f t="shared" si="9"/>
        <v>#DIV/0!</v>
      </c>
      <c r="AI27" s="30" t="e">
        <f t="shared" si="9"/>
        <v>#DIV/0!</v>
      </c>
      <c r="AJ27" s="30" t="e">
        <f t="shared" si="9"/>
        <v>#DIV/0!</v>
      </c>
      <c r="AK27" s="30" t="e">
        <f t="shared" si="9"/>
        <v>#DIV/0!</v>
      </c>
      <c r="AL27" s="30" t="e">
        <f t="shared" si="9"/>
        <v>#DIV/0!</v>
      </c>
      <c r="AM27" s="30" t="e">
        <f t="shared" si="9"/>
        <v>#DIV/0!</v>
      </c>
      <c r="AN27" s="30" t="e">
        <f t="shared" si="9"/>
        <v>#DIV/0!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e">
        <f t="shared" si="9"/>
        <v>#DIV/0!</v>
      </c>
    </row>
    <row r="28" spans="1:4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2" priority="8" operator="between">
      <formula>1</formula>
      <formula>5</formula>
    </cfRule>
    <cfRule type="cellIs" dxfId="11" priority="9" operator="lessThan">
      <formula>1</formula>
    </cfRule>
    <cfRule type="containsText" dxfId="10" priority="10" operator="containsText" text="0">
      <formula>NOT(ISERROR(SEARCH("0",C5)))</formula>
    </cfRule>
    <cfRule type="containsText" dxfId="9" priority="11" operator="containsText" text="0">
      <formula>NOT(ISERROR(SEARCH("0",C5)))</formula>
    </cfRule>
    <cfRule type="containsText" dxfId="8" priority="12" operator="containsText" text="1">
      <formula>NOT(ISERROR(SEARCH("1",C5)))</formula>
    </cfRule>
    <cfRule type="containsText" dxfId="7" priority="13" operator="containsText" text="0">
      <formula>NOT(ISERROR(SEARCH("0",C5)))</formula>
    </cfRule>
  </conditionalFormatting>
  <conditionalFormatting sqref="C26:AR26">
    <cfRule type="cellIs" dxfId="6" priority="1" operator="between">
      <formula>40</formula>
      <formula>50</formula>
    </cfRule>
    <cfRule type="cellIs" dxfId="5" priority="3" operator="greaterThan">
      <formula>70</formula>
    </cfRule>
    <cfRule type="cellIs" dxfId="4" priority="4" operator="between">
      <formula>60</formula>
      <formula>70</formula>
    </cfRule>
    <cfRule type="cellIs" dxfId="3" priority="5" operator="lessThan">
      <formula>40</formula>
    </cfRule>
    <cfRule type="cellIs" dxfId="2" priority="6" operator="between">
      <formula>50</formula>
      <formula>60</formula>
    </cfRule>
  </conditionalFormatting>
  <conditionalFormatting sqref="C27:AR27">
    <cfRule type="cellIs" dxfId="1" priority="7" operator="between">
      <formula>70</formula>
      <formula>100</formula>
    </cfRule>
  </conditionalFormatting>
  <conditionalFormatting sqref="AX6:BA6">
    <cfRule type="expression" dxfId="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EFA-8ECF-4A04-89EF-76D0C267E7E7}">
  <dimension ref="A1:D8"/>
  <sheetViews>
    <sheetView rightToLeft="1" workbookViewId="0">
      <selection activeCell="C12" sqref="C12"/>
    </sheetView>
  </sheetViews>
  <sheetFormatPr defaultRowHeight="14.5"/>
  <cols>
    <col min="1" max="1" width="22.81640625" customWidth="1"/>
    <col min="4" max="4" width="19" customWidth="1"/>
  </cols>
  <sheetData>
    <row r="1" spans="1:4" ht="24.5">
      <c r="A1" s="1"/>
    </row>
    <row r="2" spans="1:4" ht="24.5">
      <c r="A2" s="1"/>
      <c r="D2" t="s">
        <v>7</v>
      </c>
    </row>
    <row r="3" spans="1:4" ht="24.5">
      <c r="A3" s="1"/>
      <c r="D3" s="7" t="s">
        <v>8</v>
      </c>
    </row>
    <row r="4" spans="1:4" ht="24.5">
      <c r="A4" s="1"/>
      <c r="D4" s="7" t="s">
        <v>9</v>
      </c>
    </row>
    <row r="5" spans="1:4" ht="24.5">
      <c r="A5" s="1"/>
      <c r="D5" s="7" t="s">
        <v>10</v>
      </c>
    </row>
    <row r="6" spans="1:4" ht="24.5">
      <c r="A6" s="1"/>
    </row>
    <row r="7" spans="1:4" ht="24.5">
      <c r="A7" s="1"/>
    </row>
    <row r="8" spans="1:4" ht="24.5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النطاقات المسماة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M-R-S</dc:creator>
  <cp:lastModifiedBy>mohammed54</cp:lastModifiedBy>
  <cp:lastPrinted>2023-01-22T03:44:15Z</cp:lastPrinted>
  <dcterms:created xsi:type="dcterms:W3CDTF">2023-01-10T03:42:57Z</dcterms:created>
  <dcterms:modified xsi:type="dcterms:W3CDTF">2026-01-26T10:44:25Z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