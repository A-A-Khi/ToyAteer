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10.xml" ContentType="application/vnd.ms-office.chartcolorstyle+xml"/>
  <Override PartName="/xl/charts/colors11.xml" ContentType="application/vnd.ms-office.chartcolorstyle+xml"/>
  <Override PartName="/xl/charts/colors12.xml" ContentType="application/vnd.ms-office.chartcolorstyle+xml"/>
  <Override PartName="/xl/charts/colors13.xml" ContentType="application/vnd.ms-office.chartcolorstyle+xml"/>
  <Override PartName="/xl/charts/colors14.xml" ContentType="application/vnd.ms-office.chartcolorstyle+xml"/>
  <Override PartName="/xl/charts/colors15.xml" ContentType="application/vnd.ms-office.chartcolorstyle+xml"/>
  <Override PartName="/xl/charts/colors16.xml" ContentType="application/vnd.ms-office.chartcolorstyle+xml"/>
  <Override PartName="/xl/charts/colors17.xml" ContentType="application/vnd.ms-office.chartcolorstyle+xml"/>
  <Override PartName="/xl/charts/colors18.xml" ContentType="application/vnd.ms-office.chartcolorstyle+xml"/>
  <Override PartName="/xl/charts/colors19.xml" ContentType="application/vnd.ms-office.chartcolorstyle+xml"/>
  <Override PartName="/xl/charts/colors2.xml" ContentType="application/vnd.ms-office.chartcolorstyle+xml"/>
  <Override PartName="/xl/charts/colors20.xml" ContentType="application/vnd.ms-office.chartcolorstyle+xml"/>
  <Override PartName="/xl/charts/colors21.xml" ContentType="application/vnd.ms-office.chartcolorstyle+xml"/>
  <Override PartName="/xl/charts/colors2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10.xml" ContentType="application/vnd.ms-office.chartstyle+xml"/>
  <Override PartName="/xl/charts/style11.xml" ContentType="application/vnd.ms-office.chartstyle+xml"/>
  <Override PartName="/xl/charts/style12.xml" ContentType="application/vnd.ms-office.chartstyle+xml"/>
  <Override PartName="/xl/charts/style13.xml" ContentType="application/vnd.ms-office.chartstyle+xml"/>
  <Override PartName="/xl/charts/style14.xml" ContentType="application/vnd.ms-office.chartstyle+xml"/>
  <Override PartName="/xl/charts/style15.xml" ContentType="application/vnd.ms-office.chartstyle+xml"/>
  <Override PartName="/xl/charts/style16.xml" ContentType="application/vnd.ms-office.chartstyle+xml"/>
  <Override PartName="/xl/charts/style17.xml" ContentType="application/vnd.ms-office.chartstyle+xml"/>
  <Override PartName="/xl/charts/style18.xml" ContentType="application/vnd.ms-office.chartstyle+xml"/>
  <Override PartName="/xl/charts/style19.xml" ContentType="application/vnd.ms-office.chartstyle+xml"/>
  <Override PartName="/xl/charts/style2.xml" ContentType="application/vnd.ms-office.chartstyle+xml"/>
  <Override PartName="/xl/charts/style20.xml" ContentType="application/vnd.ms-office.chartstyle+xml"/>
  <Override PartName="/xl/charts/style21.xml" ContentType="application/vnd.ms-office.chartstyle+xml"/>
  <Override PartName="/xl/charts/style2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4000" windowHeight="8880" tabRatio="803" firstSheet="2" activeTab="10"/>
  </bookViews>
  <sheets>
    <sheet name="الرئيسية" sheetId="1" r:id="rId1"/>
    <sheet name="صباحي ▏ ❺   " sheetId="9" r:id="rId2"/>
    <sheet name="مسائي ▏ ❺   " sheetId="24" r:id="rId3"/>
    <sheet name="صباحي ▏ ❻" sheetId="23" r:id="rId4"/>
    <sheet name="مسائي ▏ ❻" sheetId="33" r:id="rId5"/>
    <sheet name="صباحي ▏ ❼" sheetId="22" r:id="rId6"/>
    <sheet name="مسائي ▏ ❼" sheetId="39" r:id="rId7"/>
    <sheet name=" صباحي ▏ ❽" sheetId="21" r:id="rId8"/>
    <sheet name=" مسـائي ▏ ❽" sheetId="34" r:id="rId9"/>
    <sheet name="كـمياء❇️صباحي▏❾ " sheetId="36" r:id="rId10"/>
    <sheet name="فيزياء تاسع مسائى" sheetId="37" r:id="rId11"/>
    <sheet name="فيزياء 11 مسائى" sheetId="38" r:id="rId12"/>
    <sheet name="Sheet1" sheetId="40" r:id="rId13"/>
    <sheet name="DATA" sheetId="4" state="hidden" r:id="rId14"/>
  </sheets>
  <definedNames>
    <definedName name="_xlnm.Print_Area" localSheetId="0">الرئيسية!$B$1:$N$38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<sst xmlns="http://schemas.openxmlformats.org/spreadsheetml/2006/main" count="431" uniqueCount="153">
  <si>
    <t xml:space="preserve">تحليل مفردات اختبار نهاية الفصل الدراسي الاول في مادة العلوم و الكيمياء  للصفوف(5-10) من العام الدراسي 2025-2026م </t>
  </si>
  <si>
    <t xml:space="preserve">اسم المدرسة </t>
  </si>
  <si>
    <t xml:space="preserve">طوى اعتير للتعليم الاساسى </t>
  </si>
  <si>
    <t>الصفوف</t>
  </si>
  <si>
    <t xml:space="preserve">السادس والسابع والعاشر </t>
  </si>
  <si>
    <t>معلم/ة المادة</t>
  </si>
  <si>
    <t xml:space="preserve">هانى رجب محمد الشامى </t>
  </si>
  <si>
    <t xml:space="preserve">رقم الملف </t>
  </si>
  <si>
    <t>التخصص</t>
  </si>
  <si>
    <t>معلم كيمياء</t>
  </si>
  <si>
    <t xml:space="preserve">ملاحظات هامة </t>
  </si>
  <si>
    <t>1️⃣-تتم تعبئة استمارة التحليل من واقع الورقة الإمتحانية لكل طالب/ة</t>
  </si>
  <si>
    <t>2️⃣-تقوم الاستمارة بتحديد انتشار نسبة الاتقان للمفردة لكل مفردة على حده</t>
  </si>
  <si>
    <t xml:space="preserve">3️⃣- يجب الاحتفاظ بنسخة من التحليل ضمن سجلات المعلم </t>
  </si>
  <si>
    <t xml:space="preserve">4️⃣-في حالة أن عدد الطلبة  أكثر من 20 يتم عمل التحليل لعينة ممثلة لنسب الدرجات في الصف بنسبة 10% من التحليل الإجمالي    </t>
  </si>
  <si>
    <t>م</t>
  </si>
  <si>
    <t xml:space="preserve">المفردة </t>
  </si>
  <si>
    <t>3-ا</t>
  </si>
  <si>
    <t>3-ب</t>
  </si>
  <si>
    <t>3-ج</t>
  </si>
  <si>
    <t>4-ا</t>
  </si>
  <si>
    <t>4-ب</t>
  </si>
  <si>
    <t>4-ج</t>
  </si>
  <si>
    <t>11-ا</t>
  </si>
  <si>
    <t>11-ب</t>
  </si>
  <si>
    <t>12-ا</t>
  </si>
  <si>
    <t>12-ب</t>
  </si>
  <si>
    <t>16-ا</t>
  </si>
  <si>
    <t>16-ب</t>
  </si>
  <si>
    <t>17-ا</t>
  </si>
  <si>
    <t>17-ب</t>
  </si>
  <si>
    <t>19-ا</t>
  </si>
  <si>
    <t>19-ب</t>
  </si>
  <si>
    <t>المجموع</t>
  </si>
  <si>
    <t>استدلال</t>
  </si>
  <si>
    <t>تطبيق</t>
  </si>
  <si>
    <t>معرفة</t>
  </si>
  <si>
    <t>اسم الطالب/ة      الدرجة</t>
  </si>
  <si>
    <t xml:space="preserve">متميز </t>
  </si>
  <si>
    <t xml:space="preserve">جيد </t>
  </si>
  <si>
    <t xml:space="preserve">ملائم </t>
  </si>
  <si>
    <t xml:space="preserve">غير ملائم </t>
  </si>
  <si>
    <t xml:space="preserve">يحتاج الى تدخل </t>
  </si>
  <si>
    <t xml:space="preserve"> 70% &lt;    </t>
  </si>
  <si>
    <t>60%&lt;</t>
  </si>
  <si>
    <t>50%&lt;</t>
  </si>
  <si>
    <t>40%&lt;</t>
  </si>
  <si>
    <t>&lt;40</t>
  </si>
  <si>
    <t xml:space="preserve">المتوسط </t>
  </si>
  <si>
    <t xml:space="preserve">النسبة المئوية </t>
  </si>
  <si>
    <t>انتشار نسبة الاتقان للمفردة</t>
  </si>
  <si>
    <t>9-ا</t>
  </si>
  <si>
    <t>9-ب</t>
  </si>
  <si>
    <t>13-ا</t>
  </si>
  <si>
    <t>13-ب</t>
  </si>
  <si>
    <t>15-ا</t>
  </si>
  <si>
    <t>15-ب</t>
  </si>
  <si>
    <t>17-ج</t>
  </si>
  <si>
    <t>21-ا</t>
  </si>
  <si>
    <t>21-ب</t>
  </si>
  <si>
    <t>21-ج</t>
  </si>
  <si>
    <t>سعيد سالم المشيخى</t>
  </si>
  <si>
    <t>محمد احمد سالم العمرى</t>
  </si>
  <si>
    <t xml:space="preserve">شعيب حسن </t>
  </si>
  <si>
    <t>بخيت سهيل تمان العمرى</t>
  </si>
  <si>
    <t>محمد احمد محمد العمرى</t>
  </si>
  <si>
    <t>على ممد تمان العمرى</t>
  </si>
  <si>
    <t xml:space="preserve">على مسعود سالم </t>
  </si>
  <si>
    <t xml:space="preserve">عامر حاتم عامر </t>
  </si>
  <si>
    <t>معاذ محمد سعيد العمرى</t>
  </si>
  <si>
    <t>1-ا</t>
  </si>
  <si>
    <t>1-ب</t>
  </si>
  <si>
    <t>8-ا</t>
  </si>
  <si>
    <t>8-ب</t>
  </si>
  <si>
    <t>8-ج</t>
  </si>
  <si>
    <t>10-ا</t>
  </si>
  <si>
    <t>10-ب</t>
  </si>
  <si>
    <t>11-ج</t>
  </si>
  <si>
    <t>20-ا</t>
  </si>
  <si>
    <t>20-ب</t>
  </si>
  <si>
    <t>24-ا</t>
  </si>
  <si>
    <t>24-ب</t>
  </si>
  <si>
    <t>2-أ</t>
  </si>
  <si>
    <t>2-ب</t>
  </si>
  <si>
    <t>7-أ</t>
  </si>
  <si>
    <t>7-ب</t>
  </si>
  <si>
    <t>9-أ</t>
  </si>
  <si>
    <t>12-أ</t>
  </si>
  <si>
    <t>14-أ</t>
  </si>
  <si>
    <t>14-ب</t>
  </si>
  <si>
    <t>17-أ</t>
  </si>
  <si>
    <t xml:space="preserve">17-ب </t>
  </si>
  <si>
    <t>24-أ</t>
  </si>
  <si>
    <t xml:space="preserve">محمد سالم محمد المشيخى </t>
  </si>
  <si>
    <t xml:space="preserve">حمزة إبراهيم سالم المشيخى </t>
  </si>
  <si>
    <t xml:space="preserve">مسلم حامد محمد العويسى </t>
  </si>
  <si>
    <t xml:space="preserve">هلال سعيد محمد العمرى </t>
  </si>
  <si>
    <t>سعيد سالم على الشحرى</t>
  </si>
  <si>
    <t>عبدالله سالم بخيت العمرى</t>
  </si>
  <si>
    <t xml:space="preserve">على سالم على باقى </t>
  </si>
  <si>
    <t>مهدى مستهيل الشحرى</t>
  </si>
  <si>
    <r>
      <rPr>
        <b/>
        <sz val="18"/>
        <color theme="1"/>
        <rFont val="Calibri"/>
        <charset val="134"/>
        <scheme val="minor"/>
      </rPr>
      <t>عبدالرحمن مسلم مبارك</t>
    </r>
    <r>
      <rPr>
        <b/>
        <sz val="16"/>
        <color theme="1"/>
        <rFont val="Sakkal Majalla"/>
        <charset val="134"/>
      </rPr>
      <t xml:space="preserve"> </t>
    </r>
  </si>
  <si>
    <t>5-ا</t>
  </si>
  <si>
    <t>5-ب</t>
  </si>
  <si>
    <t>24-ج</t>
  </si>
  <si>
    <t>24-د</t>
  </si>
  <si>
    <t>2-ا</t>
  </si>
  <si>
    <t>mlkjlk</t>
  </si>
  <si>
    <t xml:space="preserve">الإجراء المطلوب لمعالجة  المفردة </t>
  </si>
  <si>
    <t>18-ا</t>
  </si>
  <si>
    <t>18-ب</t>
  </si>
  <si>
    <t>20-ج</t>
  </si>
  <si>
    <t>20-د</t>
  </si>
  <si>
    <t>23-ا</t>
  </si>
  <si>
    <t>23-ب</t>
  </si>
  <si>
    <t>14-ا</t>
  </si>
  <si>
    <t>21-د</t>
  </si>
  <si>
    <t>25-ا</t>
  </si>
  <si>
    <t>25-ب</t>
  </si>
  <si>
    <t>2-ج</t>
  </si>
  <si>
    <t>5-ج</t>
  </si>
  <si>
    <t>14-ج</t>
  </si>
  <si>
    <t>19-ج</t>
  </si>
  <si>
    <t>10-د</t>
  </si>
  <si>
    <t>10-هـ</t>
  </si>
  <si>
    <r>
      <t>4-</t>
    </r>
    <r>
      <rPr>
        <b/>
        <sz val="20"/>
        <color theme="1"/>
        <rFont val="Arial"/>
        <charset val="134"/>
      </rPr>
      <t>ا</t>
    </r>
    <r>
      <rPr>
        <b/>
        <sz val="20"/>
        <color theme="1"/>
        <rFont val="Adobe Arabic"/>
        <charset val="134"/>
      </rPr>
      <t xml:space="preserve"> </t>
    </r>
  </si>
  <si>
    <r>
      <t>4-</t>
    </r>
    <r>
      <rPr>
        <b/>
        <sz val="20"/>
        <color theme="1"/>
        <rFont val="Arial"/>
        <charset val="134"/>
      </rPr>
      <t>ب</t>
    </r>
  </si>
  <si>
    <r>
      <t>4-</t>
    </r>
    <r>
      <rPr>
        <b/>
        <sz val="20"/>
        <color theme="1"/>
        <rFont val="Arial"/>
        <charset val="134"/>
      </rPr>
      <t>ج</t>
    </r>
  </si>
  <si>
    <r>
      <t>6-</t>
    </r>
    <r>
      <rPr>
        <b/>
        <sz val="20"/>
        <color theme="1"/>
        <rFont val="Arial"/>
        <charset val="134"/>
      </rPr>
      <t>ا</t>
    </r>
  </si>
  <si>
    <r>
      <t>6-</t>
    </r>
    <r>
      <rPr>
        <b/>
        <sz val="20"/>
        <color theme="1"/>
        <rFont val="Arial"/>
        <charset val="134"/>
      </rPr>
      <t>ب</t>
    </r>
  </si>
  <si>
    <r>
      <t>8-</t>
    </r>
    <r>
      <rPr>
        <b/>
        <sz val="20"/>
        <color theme="1"/>
        <rFont val="Arial"/>
        <charset val="134"/>
      </rPr>
      <t>ا</t>
    </r>
  </si>
  <si>
    <r>
      <t>8-</t>
    </r>
    <r>
      <rPr>
        <b/>
        <sz val="20"/>
        <color theme="1"/>
        <rFont val="Arial"/>
        <charset val="134"/>
      </rPr>
      <t>ب</t>
    </r>
  </si>
  <si>
    <r>
      <t>9-</t>
    </r>
    <r>
      <rPr>
        <b/>
        <sz val="20"/>
        <color theme="1"/>
        <rFont val="Arial"/>
        <charset val="134"/>
      </rPr>
      <t>ا</t>
    </r>
  </si>
  <si>
    <r>
      <t>9-</t>
    </r>
    <r>
      <rPr>
        <b/>
        <sz val="20"/>
        <color theme="1"/>
        <rFont val="Arial"/>
        <charset val="134"/>
      </rPr>
      <t>ب</t>
    </r>
  </si>
  <si>
    <r>
      <t>18-</t>
    </r>
    <r>
      <rPr>
        <b/>
        <sz val="20"/>
        <color theme="1"/>
        <rFont val="Arial"/>
        <charset val="134"/>
      </rPr>
      <t>ا</t>
    </r>
  </si>
  <si>
    <r>
      <t>18-</t>
    </r>
    <r>
      <rPr>
        <b/>
        <sz val="20"/>
        <color theme="1"/>
        <rFont val="Arial"/>
        <charset val="134"/>
      </rPr>
      <t>ب</t>
    </r>
  </si>
  <si>
    <r>
      <t>21-</t>
    </r>
    <r>
      <rPr>
        <b/>
        <sz val="20"/>
        <color theme="1"/>
        <rFont val="Arial"/>
        <charset val="134"/>
      </rPr>
      <t>ا</t>
    </r>
  </si>
  <si>
    <r>
      <t>21-</t>
    </r>
    <r>
      <rPr>
        <b/>
        <sz val="20"/>
        <color theme="1"/>
        <rFont val="Arial"/>
        <charset val="134"/>
      </rPr>
      <t>ب</t>
    </r>
  </si>
  <si>
    <t xml:space="preserve">بخيت مسلم لبخيت العمرى </t>
  </si>
  <si>
    <t>عواد بخيت الشحرى</t>
  </si>
  <si>
    <t>سالم مسلم سهيل</t>
  </si>
  <si>
    <t xml:space="preserve">سعيد على العمرى </t>
  </si>
  <si>
    <t>سالم احمد محمد المشيخى</t>
  </si>
  <si>
    <t>احمد سالم سعيد فرحان</t>
  </si>
  <si>
    <t xml:space="preserve">سعيد محمد مسعود </t>
  </si>
  <si>
    <r>
      <t>3-</t>
    </r>
    <r>
      <rPr>
        <b/>
        <sz val="20"/>
        <color theme="1"/>
        <rFont val="Arial"/>
        <charset val="134"/>
      </rPr>
      <t>ا</t>
    </r>
  </si>
  <si>
    <r>
      <t>3-</t>
    </r>
    <r>
      <rPr>
        <b/>
        <sz val="20"/>
        <color theme="1"/>
        <rFont val="Arial"/>
        <charset val="134"/>
      </rPr>
      <t>ب</t>
    </r>
  </si>
  <si>
    <r>
      <t>22-</t>
    </r>
    <r>
      <rPr>
        <b/>
        <sz val="20"/>
        <color theme="1"/>
        <rFont val="Arial"/>
        <charset val="134"/>
      </rPr>
      <t>ا</t>
    </r>
  </si>
  <si>
    <r>
      <t>22-</t>
    </r>
    <r>
      <rPr>
        <b/>
        <sz val="20"/>
        <color theme="1"/>
        <rFont val="Arial"/>
        <charset val="134"/>
      </rPr>
      <t>ب</t>
    </r>
  </si>
  <si>
    <r>
      <t>24-</t>
    </r>
    <r>
      <rPr>
        <b/>
        <sz val="20"/>
        <color theme="1"/>
        <rFont val="Arial"/>
        <charset val="134"/>
      </rPr>
      <t>ا</t>
    </r>
  </si>
  <si>
    <r>
      <t>24-</t>
    </r>
    <r>
      <rPr>
        <b/>
        <sz val="20"/>
        <color theme="1"/>
        <rFont val="Arial"/>
        <charset val="134"/>
      </rPr>
      <t>ب</t>
    </r>
  </si>
  <si>
    <t xml:space="preserve">استقصاء علمي 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</si>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</sst>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5">
    <font>
      <sz val="11"/>
      <color theme="1"/>
      <name val="Calibri"/>
      <charset val="134"/>
      <scheme val="minor"/>
    </font>
    <font>
      <b/>
      <sz val="16"/>
      <color theme="1"/>
      <name val="Sakkal Majalla"/>
      <charset val="134"/>
    </font>
    <font>
      <b/>
      <sz val="11"/>
      <color theme="1"/>
      <name val="Calibri"/>
      <charset val="134"/>
      <scheme val="minor"/>
    </font>
    <font>
      <b/>
      <sz val="20"/>
      <color theme="1"/>
      <name val="Adobe Arabic"/>
      <charset val="134"/>
    </font>
    <font>
      <b/>
      <sz val="18"/>
      <color theme="1"/>
      <name val="Sakkal Majalla"/>
      <charset val="134"/>
    </font>
    <font>
      <b/>
      <sz val="16"/>
      <color theme="1"/>
      <name val="Adobe Arabic"/>
      <charset val="134"/>
    </font>
    <font>
      <b/>
      <sz val="22"/>
      <color theme="1"/>
      <name val="Calibri"/>
      <charset val="134"/>
      <scheme val="minor"/>
    </font>
    <font>
      <sz val="22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8"/>
      <color theme="1"/>
      <name val="Calibri"/>
      <charset val="134"/>
      <scheme val="minor"/>
    </font>
    <font>
      <b/>
      <sz val="16"/>
      <color theme="1"/>
      <name val="Sakkal Majalla"/>
      <charset val="134"/>
    </font>
    <font>
      <b/>
      <sz val="18"/>
      <color rgb="FFC00000"/>
      <name val="Sakkal Majalla"/>
      <charset val="134"/>
    </font>
    <font>
      <sz val="18"/>
      <color theme="1"/>
      <name val="Calibri"/>
      <charset val="134"/>
      <scheme val="minor"/>
    </font>
    <font>
      <sz val="18"/>
      <color theme="4" tint="-0.499984740745262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20"/>
      <color theme="1"/>
      <name val="Arial"/>
      <charset val="134"/>
    </font>
  </fonts>
  <fills count="44">
    <fill>
      <patternFill patternType="none"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9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 diagonalUp="1">
      <left style="thin">
        <color auto="1"/>
      </left>
      <right style="thin">
        <color auto="1"/>
      </right>
      <top/>
      <bottom style="thin">
        <color auto="1"/>
      </bottom>
      <diagonal style="thin">
        <color auto="1"/>
      </diagonal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4" tint="-0.249946592608417"/>
      </left>
      <right/>
      <top style="medium">
        <color theme="4" tint="-0.249946592608417"/>
      </top>
      <bottom style="medium">
        <color theme="4" tint="-0.249946592608417"/>
      </bottom>
      <diagonal/>
    </border>
    <border>
      <left/>
      <right/>
      <top style="medium">
        <color theme="4" tint="-0.249946592608417"/>
      </top>
      <bottom style="medium">
        <color theme="4" tint="-0.249946592608417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theme="0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theme="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4" fillId="0" borderId="0" applyFont="0" applyFill="0" applyBorder="0" applyAlignment="0" applyProtection="0">
      <alignment vertical="center"/>
    </xf>
    <xf numFmtId="44" fontId="14" fillId="0" borderId="0" applyFont="0" applyFill="0" applyBorder="0" applyAlignment="0" applyProtection="0">
      <alignment vertical="center"/>
    </xf>
    <xf numFmtId="9" fontId="14" fillId="0" borderId="0" applyFont="0" applyFill="0" applyBorder="0" applyAlignment="0" applyProtection="0">
      <alignment vertical="center"/>
    </xf>
    <xf numFmtId="177" fontId="14" fillId="0" borderId="0" applyFont="0" applyFill="0" applyBorder="0" applyAlignment="0" applyProtection="0">
      <alignment vertical="center"/>
    </xf>
    <xf numFmtId="42" fontId="14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4" fillId="13" borderId="3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32" applyNumberFormat="0" applyFill="0" applyAlignment="0" applyProtection="0">
      <alignment vertical="center"/>
    </xf>
    <xf numFmtId="0" fontId="21" fillId="0" borderId="32" applyNumberFormat="0" applyFill="0" applyAlignment="0" applyProtection="0">
      <alignment vertical="center"/>
    </xf>
    <xf numFmtId="0" fontId="22" fillId="0" borderId="3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14" borderId="34" applyNumberFormat="0" applyAlignment="0" applyProtection="0">
      <alignment vertical="center"/>
    </xf>
    <xf numFmtId="0" fontId="24" fillId="15" borderId="35" applyNumberFormat="0" applyAlignment="0" applyProtection="0">
      <alignment vertical="center"/>
    </xf>
    <xf numFmtId="0" fontId="25" fillId="15" borderId="34" applyNumberFormat="0" applyAlignment="0" applyProtection="0">
      <alignment vertical="center"/>
    </xf>
    <xf numFmtId="0" fontId="26" fillId="16" borderId="36" applyNumberFormat="0" applyAlignment="0" applyProtection="0">
      <alignment vertical="center"/>
    </xf>
    <xf numFmtId="0" fontId="27" fillId="0" borderId="37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3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33" fillId="41" borderId="0" applyNumberFormat="0" applyBorder="0" applyAlignment="0" applyProtection="0">
      <alignment vertical="center"/>
    </xf>
    <xf numFmtId="0" fontId="33" fillId="42" borderId="0" applyNumberFormat="0" applyBorder="0" applyAlignment="0" applyProtection="0">
      <alignment vertical="center"/>
    </xf>
    <xf numFmtId="0" fontId="32" fillId="43" borderId="0" applyNumberFormat="0" applyBorder="0" applyAlignment="0" applyProtection="0">
      <alignment vertical="center"/>
    </xf>
  </cellStyleXfs>
  <cellXfs count="81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readingOrder="2"/>
    </xf>
    <xf numFmtId="0" fontId="1" fillId="2" borderId="3" xfId="0" applyFont="1" applyFill="1" applyBorder="1" applyAlignment="1">
      <alignment horizontal="center"/>
    </xf>
    <xf numFmtId="0" fontId="3" fillId="3" borderId="4" xfId="0" applyFont="1" applyFill="1" applyBorder="1" applyAlignment="1">
      <alignment horizontal="right" vertical="center" wrapText="1"/>
    </xf>
    <xf numFmtId="0" fontId="2" fillId="4" borderId="2" xfId="0" applyFont="1" applyFill="1" applyBorder="1" applyAlignment="1">
      <alignment horizontal="center" vertical="center"/>
    </xf>
    <xf numFmtId="0" fontId="2" fillId="5" borderId="2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2" fontId="5" fillId="0" borderId="7" xfId="0" applyNumberFormat="1" applyFont="1" applyBorder="1" applyAlignment="1">
      <alignment horizontal="center" vertical="center"/>
    </xf>
    <xf numFmtId="0" fontId="4" fillId="7" borderId="5" xfId="0" applyFont="1" applyFill="1" applyBorder="1" applyAlignment="1">
      <alignment horizontal="center"/>
    </xf>
    <xf numFmtId="0" fontId="4" fillId="7" borderId="6" xfId="0" applyFont="1" applyFill="1" applyBorder="1" applyAlignment="1">
      <alignment horizontal="center"/>
    </xf>
    <xf numFmtId="0" fontId="2" fillId="8" borderId="2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2" fillId="4" borderId="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4" fillId="5" borderId="8" xfId="0" applyFont="1" applyFill="1" applyBorder="1" applyAlignment="1">
      <alignment horizontal="center" vertical="center" readingOrder="2"/>
    </xf>
    <xf numFmtId="0" fontId="1" fillId="0" borderId="8" xfId="0" applyFont="1" applyBorder="1" applyAlignment="1">
      <alignment horizontal="center"/>
    </xf>
    <xf numFmtId="0" fontId="3" fillId="3" borderId="0" xfId="0" applyFont="1" applyFill="1" applyAlignment="1">
      <alignment horizontal="center" vertical="center" readingOrder="2"/>
    </xf>
    <xf numFmtId="0" fontId="0" fillId="6" borderId="0" xfId="0" applyFill="1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4" fillId="8" borderId="8" xfId="0" applyFont="1" applyFill="1" applyBorder="1" applyAlignment="1">
      <alignment horizontal="center" vertical="center" readingOrder="2"/>
    </xf>
    <xf numFmtId="0" fontId="4" fillId="4" borderId="8" xfId="0" applyFont="1" applyFill="1" applyBorder="1" applyAlignment="1">
      <alignment horizontal="center" vertical="center" readingOrder="2"/>
    </xf>
    <xf numFmtId="0" fontId="6" fillId="6" borderId="2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2" fillId="10" borderId="2" xfId="0" applyFont="1" applyFill="1" applyBorder="1" applyAlignment="1">
      <alignment horizontal="center" vertical="center"/>
    </xf>
    <xf numFmtId="0" fontId="2" fillId="9" borderId="5" xfId="0" applyFont="1" applyFill="1" applyBorder="1" applyAlignment="1">
      <alignment horizontal="center" vertical="center"/>
    </xf>
    <xf numFmtId="0" fontId="8" fillId="8" borderId="2" xfId="0" applyFont="1" applyFill="1" applyBorder="1" applyAlignment="1">
      <alignment horizontal="center" vertical="center"/>
    </xf>
    <xf numFmtId="16" fontId="3" fillId="3" borderId="0" xfId="0" applyNumberFormat="1" applyFont="1" applyFill="1" applyAlignment="1">
      <alignment horizontal="center" vertical="center" readingOrder="2"/>
    </xf>
    <xf numFmtId="0" fontId="4" fillId="6" borderId="8" xfId="0" applyFont="1" applyFill="1" applyBorder="1" applyAlignment="1">
      <alignment horizontal="center" vertical="center" readingOrder="2"/>
    </xf>
    <xf numFmtId="0" fontId="3" fillId="4" borderId="8" xfId="0" applyFont="1" applyFill="1" applyBorder="1" applyAlignment="1">
      <alignment horizontal="right" vertical="center" wrapText="1"/>
    </xf>
    <xf numFmtId="0" fontId="4" fillId="4" borderId="0" xfId="0" applyFont="1" applyFill="1" applyAlignment="1">
      <alignment horizontal="center"/>
    </xf>
    <xf numFmtId="0" fontId="4" fillId="7" borderId="0" xfId="0" applyFont="1" applyFill="1" applyAlignment="1">
      <alignment horizontal="center"/>
    </xf>
    <xf numFmtId="2" fontId="5" fillId="0" borderId="0" xfId="0" applyNumberFormat="1" applyFont="1" applyAlignment="1">
      <alignment horizontal="center" vertical="center"/>
    </xf>
    <xf numFmtId="0" fontId="9" fillId="0" borderId="2" xfId="0" applyFont="1" applyBorder="1"/>
    <xf numFmtId="0" fontId="10" fillId="0" borderId="2" xfId="0" applyFont="1" applyBorder="1"/>
    <xf numFmtId="0" fontId="0" fillId="0" borderId="9" xfId="0" applyBorder="1"/>
    <xf numFmtId="0" fontId="1" fillId="0" borderId="9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0" fillId="0" borderId="10" xfId="0" applyBorder="1"/>
    <xf numFmtId="0" fontId="11" fillId="11" borderId="11" xfId="0" applyFont="1" applyFill="1" applyBorder="1" applyAlignment="1">
      <alignment horizontal="center" wrapText="1"/>
    </xf>
    <xf numFmtId="0" fontId="11" fillId="11" borderId="12" xfId="0" applyFont="1" applyFill="1" applyBorder="1" applyAlignment="1">
      <alignment horizontal="center" wrapText="1"/>
    </xf>
    <xf numFmtId="0" fontId="11" fillId="11" borderId="13" xfId="0" applyFont="1" applyFill="1" applyBorder="1" applyAlignment="1">
      <alignment horizontal="center" wrapText="1"/>
    </xf>
    <xf numFmtId="0" fontId="11" fillId="11" borderId="14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12" fillId="12" borderId="17" xfId="0" applyFont="1" applyFill="1" applyBorder="1" applyAlignment="1">
      <alignment horizontal="center"/>
    </xf>
    <xf numFmtId="0" fontId="12" fillId="12" borderId="18" xfId="0" applyFont="1" applyFill="1" applyBorder="1" applyAlignment="1">
      <alignment horizontal="center"/>
    </xf>
    <xf numFmtId="0" fontId="13" fillId="0" borderId="19" xfId="0" applyFont="1" applyBorder="1" applyAlignment="1">
      <alignment horizontal="right" readingOrder="2"/>
    </xf>
    <xf numFmtId="0" fontId="13" fillId="0" borderId="20" xfId="0" applyFont="1" applyBorder="1" applyAlignment="1">
      <alignment horizontal="right" readingOrder="2"/>
    </xf>
    <xf numFmtId="0" fontId="13" fillId="0" borderId="21" xfId="0" applyFont="1" applyBorder="1" applyAlignment="1">
      <alignment horizontal="right" readingOrder="2"/>
    </xf>
    <xf numFmtId="0" fontId="13" fillId="0" borderId="12" xfId="0" applyFont="1" applyBorder="1" applyAlignment="1">
      <alignment horizontal="right" readingOrder="2"/>
    </xf>
    <xf numFmtId="0" fontId="0" fillId="0" borderId="1" xfId="0" applyBorder="1"/>
    <xf numFmtId="0" fontId="13" fillId="0" borderId="22" xfId="0" applyFont="1" applyBorder="1" applyAlignment="1">
      <alignment horizontal="right" readingOrder="2"/>
    </xf>
    <xf numFmtId="0" fontId="13" fillId="0" borderId="23" xfId="0" applyFont="1" applyBorder="1" applyAlignment="1">
      <alignment readingOrder="2"/>
    </xf>
    <xf numFmtId="0" fontId="13" fillId="0" borderId="14" xfId="0" applyFont="1" applyBorder="1" applyAlignment="1">
      <alignment horizontal="right" readingOrder="2"/>
    </xf>
    <xf numFmtId="0" fontId="11" fillId="11" borderId="24" xfId="0" applyFont="1" applyFill="1" applyBorder="1" applyAlignment="1">
      <alignment horizontal="center" wrapText="1"/>
    </xf>
    <xf numFmtId="0" fontId="11" fillId="11" borderId="3" xfId="0" applyFont="1" applyFill="1" applyBorder="1" applyAlignment="1">
      <alignment horizontal="center" wrapText="1"/>
    </xf>
    <xf numFmtId="0" fontId="12" fillId="12" borderId="25" xfId="0" applyFont="1" applyFill="1" applyBorder="1" applyAlignment="1">
      <alignment horizontal="center"/>
    </xf>
    <xf numFmtId="0" fontId="13" fillId="0" borderId="26" xfId="0" applyFont="1" applyBorder="1" applyAlignment="1">
      <alignment horizontal="right" readingOrder="2"/>
    </xf>
    <xf numFmtId="0" fontId="13" fillId="0" borderId="27" xfId="0" applyFont="1" applyBorder="1" applyAlignment="1">
      <alignment horizontal="right" readingOrder="2"/>
    </xf>
    <xf numFmtId="0" fontId="13" fillId="0" borderId="28" xfId="0" applyFont="1" applyBorder="1" applyAlignment="1">
      <alignment readingOrder="2"/>
    </xf>
    <xf numFmtId="0" fontId="0" fillId="0" borderId="29" xfId="0" applyBorder="1"/>
    <xf numFmtId="0" fontId="13" fillId="0" borderId="30" xfId="0" applyFont="1" applyBorder="1" applyAlignment="1">
      <alignment horizontal="right" readingOrder="2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3">
    <dxf>
      <font>
        <b val="1"/>
        <i val="0"/>
        <strike val="0"/>
      </font>
      <fill>
        <patternFill patternType="solid">
          <bgColor rgb="FFFF0000"/>
        </patternFill>
      </fill>
    </dxf>
    <dxf>
      <font>
        <b val="1"/>
        <i val="0"/>
      </font>
      <fill>
        <patternFill patternType="solid">
          <bgColor rgb="FFFFFF00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C00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theme="0"/>
      </font>
    </dxf>
    <dxf>
      <fill>
        <patternFill patternType="solid">
          <bgColor rgb="FF7030A0"/>
        </patternFill>
      </fill>
    </dxf>
    <dxf>
      <font>
        <color rgb="FF006100"/>
      </font>
      <fill>
        <patternFill patternType="solid">
          <bgColor rgb="FFC6EF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b val="1"/>
      </font>
      <alignment horizontal="center"/>
    </dxf>
  </dxfs>
  <tableStyles count="0" defaultTableStyle="TableStyleMedium2" defaultPivotStyle="PivotStyleLight16"/>
  <colors>
    <mruColors>
      <color rgb="006666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tyles" Target="styles.xml"/><Relationship Id="rId17" Type="http://schemas.openxmlformats.org/officeDocument/2006/relationships/sheetMetadata" Target="metadata.xml"/><Relationship Id="rId16" Type="http://schemas.openxmlformats.org/officeDocument/2006/relationships/sharedStrings" Target="sharedStrings.xml"/><Relationship Id="rId15" Type="http://schemas.openxmlformats.org/officeDocument/2006/relationships/theme" Target="theme/theme1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'صباحي ▏ ❺   '!$AH$25:$AJ$25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20e75d8-2b66-4e8e-962f-7e728ac2792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❺  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a1a5e6-a93f-48b5-b069-769d130bbe8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'مسائي ▏ ❺   '!$AG$25:$AI$25</c:f>
              <c:numCache>
                <c:formatCode>General</c:formatCode>
                <c:ptCount val="3"/>
                <c:pt idx="0">
                  <c:v>35</c:v>
                </c:pt>
                <c:pt idx="1">
                  <c:v>83</c:v>
                </c:pt>
                <c:pt idx="2">
                  <c:v>88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1605069-a0b7-4755-911c-4ceda0811e7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'!$C$26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'!$D$26</c:f>
              <c:numCache>
                <c:formatCode>0.00</c:formatCode>
                <c:ptCount val="1"/>
                <c:pt idx="0">
                  <c:v>33.3333333333333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'!$E$26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'!$F$26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'!$G$26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'!$H$26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'!$I$26</c:f>
              <c:numCache>
                <c:formatCode>0.00</c:formatCode>
                <c:ptCount val="1"/>
                <c:pt idx="0">
                  <c:v>27.7777777777778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'!$J$26</c:f>
              <c:numCache>
                <c:formatCode>0.00</c:formatCode>
                <c:ptCount val="1"/>
                <c:pt idx="0">
                  <c:v>72.2222222222222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'!$K$26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'!$L$26</c:f>
              <c:numCache>
                <c:formatCode>0.00</c:formatCode>
                <c:ptCount val="1"/>
                <c:pt idx="0">
                  <c:v>44.4444444444444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'!$M$26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'!$N$26</c:f>
              <c:numCache>
                <c:formatCode>0.00</c:formatCode>
                <c:ptCount val="1"/>
                <c:pt idx="0">
                  <c:v>44.4444444444444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'!$O$26</c:f>
              <c:numCache>
                <c:formatCode>0.00</c:formatCode>
                <c:ptCount val="1"/>
                <c:pt idx="0">
                  <c:v>72.2222222222222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'!$P$26</c:f>
              <c:numCache>
                <c:formatCode>0.00</c:formatCode>
                <c:ptCount val="1"/>
                <c:pt idx="0">
                  <c:v>33.3333333333333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'!$Q$26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'!$R$26</c:f>
              <c:numCache>
                <c:formatCode>0.00</c:formatCode>
                <c:ptCount val="1"/>
                <c:pt idx="0">
                  <c:v>33.3333333333333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'!$S$26</c:f>
              <c:numCache>
                <c:formatCode>0.00</c:formatCode>
                <c:ptCount val="1"/>
                <c:pt idx="0">
                  <c:v>61.1111111111111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'!$T$26</c:f>
              <c:numCache>
                <c:formatCode>0.00</c:formatCode>
                <c:ptCount val="1"/>
                <c:pt idx="0">
                  <c:v>44.4444444444444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'!$U$26</c:f>
              <c:numCache>
                <c:formatCode>0.00</c:formatCode>
                <c:ptCount val="1"/>
                <c:pt idx="0">
                  <c:v>38.8888888888889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'!$V$26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'!$W$26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'!$X$26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'!$Z$26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'!$AA$26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'!$AB$26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'!$AC$26</c:f>
              <c:numCache>
                <c:formatCode>0.00</c:formatCode>
                <c:ptCount val="1"/>
                <c:pt idx="0">
                  <c:v>44.4444444444444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'!$AD$26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❺   '!$AE$26</c:f>
              <c:numCache>
                <c:formatCode>0.00</c:formatCode>
                <c:ptCount val="1"/>
                <c:pt idx="0">
                  <c:v>22.2222222222222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50caa7c2-5051-43b2-b4d1-b4f67c6a7bc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'صباحي ▏ ❻'!$AK$25:$AM$25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13e1bfb9-4bd0-49c8-983f-01a9da1a812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❻'!$AI$26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164ea2a-e56b-49ec-b6dc-017b16e5482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'مسائي ▏ ❻'!$AI$20:$AK$20</c:f>
              <c:numCache>
                <c:formatCode>General</c:formatCode>
                <c:ptCount val="3"/>
                <c:pt idx="0">
                  <c:v>0</c:v>
                </c:pt>
                <c:pt idx="1">
                  <c:v>110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e01184a-c0ea-4888-a605-0779d3c1db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❻'!$C$21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❻'!$D$21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❻'!$E$21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❻'!$F$21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❻'!$G$21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❻'!$H$21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❻'!$I$21</c:f>
              <c:numCache>
                <c:formatCode>0.00</c:formatCode>
                <c:ptCount val="1"/>
                <c:pt idx="0">
                  <c:v>94.4444444444444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❻'!$J$21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❻'!$K$21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❻'!$L$21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❻'!$M$21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❻'!$N$21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❻'!$O$21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❻'!$P$21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❻'!$Q$21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❻'!$R$21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❻'!$S$21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❻'!$T$21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❻'!$U$21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❻'!$V$21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❻'!$W$21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❻'!$X$21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❻'!$Y$21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❻'!$Z$21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❻'!$AA$21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❻'!$AB$21</c:f>
              <c:numCache>
                <c:formatCode>0.00</c:formatCode>
                <c:ptCount val="1"/>
                <c:pt idx="0">
                  <c:v>94.4444444444444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❻'!$AC$21</c:f>
              <c:numCache>
                <c:formatCode>0.00</c:formatCode>
                <c:ptCount val="1"/>
                <c:pt idx="0">
                  <c:v>77.7777777777778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❻'!$AD$21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❻'!$AE$21</c:f>
              <c:numCache>
                <c:formatCode>0.00</c:formatCode>
                <c:ptCount val="1"/>
                <c:pt idx="0">
                  <c:v>61.1111111111111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❻'!#REF!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0a3b88f-90e5-427e-b883-fea45e2e277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'صباحي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a325982-33e4-47d0-b942-fca700732eb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'صباحي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ac0d3e6-dd63-4ef0-97e0-90e8bb2829b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'مسائي ▏ ❼'!$AI$25:$AK$25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b75530a4-a09d-4518-b44f-fe1e27ce93ae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'مسائي ▏ ❼'!$AD$26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48aa62b8-9764-42bb-b158-60bd6da711ec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 صباحي ▏ ❽'!$AL$25:$AN$25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dfeacb8-8712-4274-b231-dd3496ff60f5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صباحي ▏ ❽'!$AG$26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2df58925-0ee2-456c-b1c2-a2e2afbdb94a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 مسـائي ▏ ❽'!$AN$25:$AP$25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482fe750-1298-41e8-9cda-2a382633f40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 مسـائي ▏ ❽'!$AF$26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d0d1909-ea6c-4822-a521-9e9a7336a43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'كـمياء❇️صباحي▏❾ '!$AK$25:$AM$25</c:f>
              <c:numCache>
                <c:formatCode>General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f7f4876b-c5ec-4f10-b949-7371e72736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'!$I$26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'!$J$26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'!$Q$26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'!$R$26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'!$S$26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'!$T$26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'!$U$26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'!$V$26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'!$W$26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'!$X$26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'!$Y$26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'!$Z$26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'!$AA$26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'!$AB$26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'!$AC$26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'!$AD$26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'!$AE$26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'كـمياء❇️صباحي▏❾ 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c0368e9b-1ebf-44fa-a731-85542cab4dd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'فيزياء تاسع مسائى'!$AJ$25:$AL$25</c:f>
              <c:numCache>
                <c:formatCode>General</c:formatCode>
                <c:ptCount val="3"/>
                <c:pt idx="0">
                  <c:v>23</c:v>
                </c:pt>
                <c:pt idx="1">
                  <c:v>83</c:v>
                </c:pt>
                <c:pt idx="2">
                  <c:v>56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9578fd8c-2aa3-44b1-9ab6-67e3d7ccacd0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مسائى'!$C$26</c:f>
              <c:numCache>
                <c:formatCode>0.00</c:formatCode>
                <c:ptCount val="1"/>
                <c:pt idx="0">
                  <c:v>87.5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مسائى'!$D$26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مسائى'!$E$26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مسائى'!$F$26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مسائى'!$G$26</c:f>
              <c:numCache>
                <c:formatCode>0.00</c:formatCode>
                <c:ptCount val="1"/>
                <c:pt idx="0">
                  <c:v>37.5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مسائى'!$I$26</c:f>
              <c:numCache>
                <c:formatCode>0.00</c:formatCode>
                <c:ptCount val="1"/>
                <c:pt idx="0">
                  <c:v>87.5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مسائى'!$J$26</c:f>
              <c:numCache>
                <c:formatCode>0.00</c:formatCode>
                <c:ptCount val="1"/>
                <c:pt idx="0">
                  <c:v>31.25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مسائى'!$K$26</c:f>
              <c:numCache>
                <c:formatCode>0.00</c:formatCode>
                <c:ptCount val="1"/>
                <c:pt idx="0">
                  <c:v>62.5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مسائى'!$L$26</c:f>
              <c:numCache>
                <c:formatCode>0.00</c:formatCode>
                <c:ptCount val="1"/>
                <c:pt idx="0">
                  <c:v>43.75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مسائى'!$N$26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مسائى'!$O$26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مسائى'!$Q$26</c:f>
              <c:numCache>
                <c:formatCode>0.00</c:formatCode>
                <c:ptCount val="1"/>
                <c:pt idx="0">
                  <c:v>75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مسائى'!$R$26</c:f>
              <c:numCache>
                <c:formatCode>0.00</c:formatCode>
                <c:ptCount val="1"/>
                <c:pt idx="0">
                  <c:v>68.75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مسائى'!$S$26</c:f>
              <c:numCache>
                <c:formatCode>0.00</c:formatCode>
                <c:ptCount val="1"/>
                <c:pt idx="0">
                  <c:v>87.5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مسائى'!$T$26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مسائى'!$U$26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مسائى'!$V$26</c:f>
              <c:numCache>
                <c:formatCode>0.00</c:formatCode>
                <c:ptCount val="1"/>
                <c:pt idx="0">
                  <c:v>62.5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مسائى'!$W$26</c:f>
              <c:numCache>
                <c:formatCode>0.00</c:formatCode>
                <c:ptCount val="1"/>
                <c:pt idx="0">
                  <c:v>43.75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مسائى'!$X$26</c:f>
              <c:numCache>
                <c:formatCode>0.00</c:formatCode>
                <c:ptCount val="1"/>
                <c:pt idx="0">
                  <c:v>62.5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مسائى'!$Y$26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مسائى'!$Z$26</c:f>
              <c:numCache>
                <c:formatCode>0.00</c:formatCode>
                <c:ptCount val="1"/>
                <c:pt idx="0">
                  <c:v>12.5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مسائى'!$AA$26</c:f>
              <c:numCache>
                <c:formatCode>0.00</c:formatCode>
                <c:ptCount val="1"/>
                <c:pt idx="0">
                  <c:v>62.5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مسائى'!$AB$26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مسائى'!$AC$26</c:f>
              <c:numCache>
                <c:formatCode>0.00</c:formatCode>
                <c:ptCount val="1"/>
                <c:pt idx="0">
                  <c:v>43.75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مسائى'!$AD$26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مسائى'!$AE$26</c:f>
              <c:numCache>
                <c:formatCode>0.00</c:formatCode>
                <c:ptCount val="1"/>
                <c:pt idx="0">
                  <c:v>12.5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مسائى'!$AF$26</c:f>
              <c:numCache>
                <c:formatCode>0.00</c:formatCode>
                <c:ptCount val="1"/>
                <c:pt idx="0">
                  <c:v>37.5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مسائى'!$AG$26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تاسع مسائى'!$AH$26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b980989e-4297-4635-bc22-b42afd0255f6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19242294536507"/>
          <c:y val="0.0365321234584415"/>
          <c:w val="0.531755082963807"/>
          <c:h val="0.897538540311544"/>
        </c:manualLayout>
      </c:layout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rgbClr val="92D05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rgbClr val="FFFF00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val>
            <c:numRef>
              <c:f>'فيزياء 11 مسائى'!$AR$25:$AT$25</c:f>
              <c:numCache>
                <c:formatCode>General</c:formatCode>
                <c:ptCount val="3"/>
                <c:pt idx="0">
                  <c:v>0</c:v>
                </c:pt>
                <c:pt idx="1">
                  <c:v>80</c:v>
                </c:pt>
                <c:pt idx="2">
                  <c:v>164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53ce59d-63a4-4c27-a918-34bf3bae1a0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مسائى'!$C$26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مسائى'!$D$26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مسائى'!$G$26</c:f>
              <c:numCache>
                <c:formatCode>0.00</c:formatCode>
                <c:ptCount val="1"/>
                <c:pt idx="0">
                  <c:v>200</c:v>
                </c:pt>
              </c:numCache>
            </c:numRef>
          </c:val>
        </c:ser>
        <c:ser>
          <c:idx val="3"/>
          <c:order val="3"/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مسائى'!$I$26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4"/>
          <c:order val="4"/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مسائى'!$J$26</c:f>
              <c:numCache>
                <c:formatCode>0.00</c:formatCode>
                <c:ptCount val="1"/>
                <c:pt idx="0">
                  <c:v>19.4444444444444</c:v>
                </c:pt>
              </c:numCache>
            </c:numRef>
          </c:val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مسائى'!$M$26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6"/>
          <c:order val="6"/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مسائى'!$N$26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7"/>
          <c:order val="7"/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مسائى'!$O$26</c:f>
              <c:numCache>
                <c:formatCode>0.00</c:formatCode>
                <c:ptCount val="1"/>
                <c:pt idx="0">
                  <c:v>22.2222222222222</c:v>
                </c:pt>
              </c:numCache>
            </c:numRef>
          </c:val>
        </c:ser>
        <c:ser>
          <c:idx val="8"/>
          <c:order val="8"/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مسائى'!$Q$26</c:f>
              <c:numCache>
                <c:formatCode>0.00</c:formatCode>
                <c:ptCount val="1"/>
                <c:pt idx="0">
                  <c:v>40.7407407407407</c:v>
                </c:pt>
              </c:numCache>
            </c:numRef>
          </c:val>
        </c:ser>
        <c:ser>
          <c:idx val="9"/>
          <c:order val="9"/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مسائى'!$S$26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10"/>
          <c:order val="10"/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مسائى'!$U$26</c:f>
              <c:numCache>
                <c:formatCode>0.00</c:formatCode>
                <c:ptCount val="1"/>
                <c:pt idx="0">
                  <c:v>44.4444444444444</c:v>
                </c:pt>
              </c:numCache>
            </c:numRef>
          </c:val>
        </c:ser>
        <c:ser>
          <c:idx val="11"/>
          <c:order val="11"/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مسائى'!$V$26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2"/>
          <c:order val="12"/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مسائى'!$W$26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3"/>
          <c:order val="13"/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مسائى'!$X$26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14"/>
          <c:order val="14"/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مسائى'!$Z$26</c:f>
              <c:numCache>
                <c:formatCode>0.00</c:formatCode>
                <c:ptCount val="1"/>
                <c:pt idx="0">
                  <c:v>66.6666666666667</c:v>
                </c:pt>
              </c:numCache>
            </c:numRef>
          </c:val>
        </c:ser>
        <c:ser>
          <c:idx val="15"/>
          <c:order val="15"/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مسائى'!$AA$26</c:f>
              <c:numCache>
                <c:formatCode>0.00</c:formatCode>
                <c:ptCount val="1"/>
                <c:pt idx="0">
                  <c:v>27.7777777777778</c:v>
                </c:pt>
              </c:numCache>
            </c:numRef>
          </c:val>
        </c:ser>
        <c:ser>
          <c:idx val="16"/>
          <c:order val="16"/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مسائى'!$AC$26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17"/>
          <c:order val="17"/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مسائى'!$AD$26</c:f>
              <c:numCache>
                <c:formatCode>0.00</c:formatCode>
                <c:ptCount val="1"/>
                <c:pt idx="0">
                  <c:v>22.2222222222222</c:v>
                </c:pt>
              </c:numCache>
            </c:numRef>
          </c:val>
        </c:ser>
        <c:ser>
          <c:idx val="18"/>
          <c:order val="18"/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مسائى'!$AE$26</c:f>
              <c:numCache>
                <c:formatCode>0.00</c:formatCode>
                <c:ptCount val="1"/>
                <c:pt idx="0">
                  <c:v>50</c:v>
                </c:pt>
              </c:numCache>
            </c:numRef>
          </c:val>
        </c:ser>
        <c:ser>
          <c:idx val="19"/>
          <c:order val="19"/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مسائى'!$AF$26</c:f>
              <c:numCache>
                <c:formatCode>0.00</c:formatCode>
                <c:ptCount val="1"/>
                <c:pt idx="0">
                  <c:v>111.111111111111</c:v>
                </c:pt>
              </c:numCache>
            </c:numRef>
          </c:val>
        </c:ser>
        <c:ser>
          <c:idx val="20"/>
          <c:order val="20"/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مسائى'!$AG$26</c:f>
              <c:numCache>
                <c:formatCode>0.00</c:formatCode>
                <c:ptCount val="1"/>
                <c:pt idx="0">
                  <c:v>55.5555555555556</c:v>
                </c:pt>
              </c:numCache>
            </c:numRef>
          </c:val>
        </c:ser>
        <c:ser>
          <c:idx val="21"/>
          <c:order val="21"/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مسائى'!$AH$26</c:f>
              <c:numCache>
                <c:formatCode>0.00</c:formatCode>
                <c:ptCount val="1"/>
                <c:pt idx="0">
                  <c:v>100</c:v>
                </c:pt>
              </c:numCache>
            </c:numRef>
          </c:val>
        </c:ser>
        <c:ser>
          <c:idx val="22"/>
          <c:order val="22"/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مسائى'!$AI$26</c:f>
              <c:numCache>
                <c:formatCode>0.00</c:formatCode>
                <c:ptCount val="1"/>
                <c:pt idx="0">
                  <c:v>47.2222222222222</c:v>
                </c:pt>
              </c:numCache>
            </c:numRef>
          </c:val>
        </c:ser>
        <c:ser>
          <c:idx val="23"/>
          <c:order val="23"/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مسائى'!$AJ$26</c:f>
              <c:numCache>
                <c:formatCode>0.00</c:formatCode>
                <c:ptCount val="1"/>
                <c:pt idx="0">
                  <c:v>88.8888888888889</c:v>
                </c:pt>
              </c:numCache>
            </c:numRef>
          </c:val>
        </c:ser>
        <c:ser>
          <c:idx val="24"/>
          <c:order val="24"/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مسائى'!$AK$26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5"/>
          <c:order val="25"/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مسائى'!$AL$26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6"/>
          <c:order val="26"/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مسائى'!$AM$26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7"/>
          <c:order val="27"/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مسائى'!$AN$26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8"/>
          <c:order val="28"/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مسائى'!$AO$26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29"/>
          <c:order val="29"/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'فيزياء 11 مسائى'!$AP$26</c:f>
              <c:numCache>
                <c:formatCode>0.00</c:formatCode>
                <c:ptCount val="1"/>
                <c:pt idx="0">
                  <c:v>0</c:v>
                </c:pt>
              </c:numCache>
            </c:numRef>
          </c:val>
        </c:ser>
        <c:ser>
          <c:idx val="30"/>
          <c:order val="30"/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1"/>
          <c:order val="31"/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invertIfNegative val="0"/>
          <c:dLbls>
            <c:delete val="1"/>
          </c:dLbls>
          <c:val>
            <c:numRef>
              <c:f>#REF!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55229920"/>
        <c:axId val="555230640"/>
      </c:barChart>
      <c:catAx>
        <c:axId val="55522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30640"/>
        <c:crosses val="autoZero"/>
        <c:auto val="1"/>
        <c:lblAlgn val="ctr"/>
        <c:lblOffset val="100"/>
        <c:noMultiLvlLbl val="0"/>
      </c:catAx>
      <c:valAx>
        <c:axId val="55523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5552299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02adc15-7da4-4d3c-b622-169f74ec2e9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288901</xdr:colOff>
      <xdr:row>13</xdr:row>
      <xdr:rowOff>174123</xdr:rowOff>
    </xdr:from>
    <xdr:ext cx="184730" cy="568758"/>
    <xdr:sp>
      <xdr:nvSpPr>
        <xdr:cNvPr id="10" name="Rectangle 9"/>
        <xdr:cNvSpPr/>
      </xdr:nvSpPr>
      <xdr:spPr>
        <a:xfrm>
          <a:off x="6889115" y="3488690"/>
          <a:ext cx="184785" cy="568325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endParaRPr lang="en-US" sz="28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oneCellAnchor>
  <xdr:twoCellAnchor editAs="oneCell">
    <xdr:from>
      <xdr:col>9</xdr:col>
      <xdr:colOff>323850</xdr:colOff>
      <xdr:row>0</xdr:row>
      <xdr:rowOff>95250</xdr:rowOff>
    </xdr:from>
    <xdr:to>
      <xdr:col>12</xdr:col>
      <xdr:colOff>595045</xdr:colOff>
      <xdr:row>6</xdr:row>
      <xdr:rowOff>161926</xdr:rowOff>
    </xdr:to>
    <xdr:pic>
      <xdr:nvPicPr>
        <xdr:cNvPr id="2" name="صورة 1"/>
        <xdr:cNvPicPr>
          <a:picLocks noChangeAspect="1"/>
        </xdr:cNvPicPr>
      </xdr:nvPicPr>
      <xdr:blipFill>
        <a:blip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24525" y="95250"/>
          <a:ext cx="2071370" cy="1524000"/>
        </a:xfrm>
        <a:prstGeom prst="rect">
          <a:avLst/>
        </a:prstGeom>
      </xdr:spPr>
    </xdr:pic>
    <xdr:clientData/>
  </xdr:twoCellAnchor>
  <xdr:twoCellAnchor>
    <xdr:from>
      <xdr:col>13</xdr:col>
      <xdr:colOff>485489</xdr:colOff>
      <xdr:row>0</xdr:row>
      <xdr:rowOff>81803</xdr:rowOff>
    </xdr:from>
    <xdr:to>
      <xdr:col>13</xdr:col>
      <xdr:colOff>2706495</xdr:colOff>
      <xdr:row>2</xdr:row>
      <xdr:rowOff>131977</xdr:rowOff>
    </xdr:to>
    <xdr:sp>
      <xdr:nvSpPr>
        <xdr:cNvPr id="3" name="مستطيل: مشطوف الحواف 2"/>
        <xdr:cNvSpPr/>
      </xdr:nvSpPr>
      <xdr:spPr>
        <a:xfrm>
          <a:off x="8286115" y="81280"/>
          <a:ext cx="2221230" cy="640715"/>
        </a:xfrm>
        <a:prstGeom prst="bevel">
          <a:avLst/>
        </a:prstGeom>
        <a:solidFill>
          <a:schemeClr val="accent4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rgbClr val="FFFF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الصباحية</a:t>
          </a:r>
          <a:endParaRPr lang="ar-OM" sz="2400" b="1">
            <a:solidFill>
              <a:srgbClr val="FFFF0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>
    <xdr:from>
      <xdr:col>13</xdr:col>
      <xdr:colOff>487170</xdr:colOff>
      <xdr:row>3</xdr:row>
      <xdr:rowOff>62753</xdr:rowOff>
    </xdr:from>
    <xdr:to>
      <xdr:col>13</xdr:col>
      <xdr:colOff>2708176</xdr:colOff>
      <xdr:row>6</xdr:row>
      <xdr:rowOff>131977</xdr:rowOff>
    </xdr:to>
    <xdr:sp>
      <xdr:nvSpPr>
        <xdr:cNvPr id="4" name="مستطيل: مشطوف الحواف 3"/>
        <xdr:cNvSpPr/>
      </xdr:nvSpPr>
      <xdr:spPr>
        <a:xfrm>
          <a:off x="8288020" y="948055"/>
          <a:ext cx="2220595" cy="640715"/>
        </a:xfrm>
        <a:prstGeom prst="bevel">
          <a:avLst/>
        </a:prstGeom>
        <a:solidFill>
          <a:srgbClr val="FFC000"/>
        </a:solidFill>
      </xdr:spPr>
      <xdr:style>
        <a:lnRef idx="2">
          <a:schemeClr val="accent5">
            <a:shade val="15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1" anchor="ctr"/>
        <a:lstStyle/>
        <a:p>
          <a:pPr algn="ctr" rtl="1"/>
          <a:r>
            <a:rPr lang="ar-OM" sz="2400" b="1">
              <a:solidFill>
                <a:sysClr val="windowText" lastClr="000000"/>
              </a:solidFill>
              <a:latin typeface="Sakkal Majalla" panose="02000000000000000000" pitchFamily="2" charset="-78"/>
              <a:cs typeface="Sakkal Majalla" panose="02000000000000000000" pitchFamily="2" charset="-78"/>
            </a:rPr>
            <a:t>الفــترة المسائية</a:t>
          </a:r>
          <a:endParaRPr lang="ar-OM" sz="2400" b="1">
            <a:solidFill>
              <a:sysClr val="windowText" lastClr="000000"/>
            </a:solidFill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2</xdr:col>
      <xdr:colOff>0</xdr:colOff>
      <xdr:row>0</xdr:row>
      <xdr:rowOff>123825</xdr:rowOff>
    </xdr:from>
    <xdr:to>
      <xdr:col>6</xdr:col>
      <xdr:colOff>96078</xdr:colOff>
      <xdr:row>3</xdr:row>
      <xdr:rowOff>47625</xdr:rowOff>
    </xdr:to>
    <xdr:pic>
      <xdr:nvPicPr>
        <xdr:cNvPr id="6" name="صورة 5"/>
        <xdr:cNvPicPr>
          <a:picLocks noChangeAspect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00150" y="123825"/>
          <a:ext cx="2496185" cy="809625"/>
        </a:xfrm>
        <a:prstGeom prst="rect">
          <a:avLst/>
        </a:prstGeom>
      </xdr:spPr>
    </xdr:pic>
    <xdr:clientData/>
  </xdr:twoCellAnchor>
  <xdr:twoCellAnchor>
    <xdr:from>
      <xdr:col>1</xdr:col>
      <xdr:colOff>561974</xdr:colOff>
      <xdr:row>3</xdr:row>
      <xdr:rowOff>114300</xdr:rowOff>
    </xdr:from>
    <xdr:to>
      <xdr:col>6</xdr:col>
      <xdr:colOff>238124</xdr:colOff>
      <xdr:row>6</xdr:row>
      <xdr:rowOff>161925</xdr:rowOff>
    </xdr:to>
    <xdr:sp>
      <xdr:nvSpPr>
        <xdr:cNvPr id="7" name="مربع نص 6"/>
        <xdr:cNvSpPr txBox="1"/>
      </xdr:nvSpPr>
      <xdr:spPr>
        <a:xfrm>
          <a:off x="1161415" y="1000125"/>
          <a:ext cx="2676525" cy="6191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 rtl="1"/>
          <a:r>
            <a:rPr lang="ar-OM" sz="1400" b="1" u="sng">
              <a:latin typeface="Sakkal Majalla" panose="02000000000000000000" pitchFamily="2" charset="-78"/>
              <a:cs typeface="Sakkal Majalla" panose="02000000000000000000" pitchFamily="2" charset="-78"/>
            </a:rPr>
            <a:t>المدير</a:t>
          </a: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ية العامة للتربية والتعليم بمحافظة ظفار </a:t>
          </a:r>
          <a:b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</a:br>
          <a:r>
            <a:rPr lang="ar-OM" sz="1400" b="1" u="sng" baseline="0">
              <a:latin typeface="Sakkal Majalla" panose="02000000000000000000" pitchFamily="2" charset="-78"/>
              <a:cs typeface="Sakkal Majalla" panose="02000000000000000000" pitchFamily="2" charset="-78"/>
            </a:rPr>
            <a:t>دائرة الاشراف التربوي - وحدة اشراف الكيمياء</a:t>
          </a:r>
          <a:endParaRPr lang="en-US" sz="1400" b="1" u="sng">
            <a:latin typeface="Sakkal Majalla" panose="02000000000000000000" pitchFamily="2" charset="-78"/>
            <a:cs typeface="Sakkal Majalla" panose="02000000000000000000" pitchFamily="2" charset="-78"/>
          </a:endParaRPr>
        </a:p>
      </xdr:txBody>
    </xdr:sp>
    <xdr:clientData/>
  </xdr:twoCellAnchor>
  <xdr:twoCellAnchor editAs="oneCell">
    <xdr:from>
      <xdr:col>6</xdr:col>
      <xdr:colOff>558980</xdr:colOff>
      <xdr:row>0</xdr:row>
      <xdr:rowOff>133350</xdr:rowOff>
    </xdr:from>
    <xdr:to>
      <xdr:col>9</xdr:col>
      <xdr:colOff>181</xdr:colOff>
      <xdr:row>6</xdr:row>
      <xdr:rowOff>104775</xdr:rowOff>
    </xdr:to>
    <xdr:pic>
      <xdr:nvPicPr>
        <xdr:cNvPr id="9" name="صورة 8"/>
        <xdr:cNvPicPr>
          <a:picLocks noChangeAspect="1"/>
        </xdr:cNvPicPr>
      </xdr:nvPicPr>
      <xdr:blipFill>
        <a:blip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59250" y="133350"/>
          <a:ext cx="1241425" cy="1428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32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5608935" y="10984865"/>
        <a:ext cx="11174730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>
      <xdr:nvGraphicFramePr>
        <xdr:cNvPr id="4" name="مخطط 3"/>
        <xdr:cNvGraphicFramePr/>
      </xdr:nvGraphicFramePr>
      <xdr:xfrm>
        <a:off x="266700" y="11010900"/>
        <a:ext cx="1498219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31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4796135" y="10984865"/>
        <a:ext cx="899477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427607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4796135" y="10984865"/>
        <a:ext cx="1174051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17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427607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179457</xdr:colOff>
      <xdr:row>25</xdr:row>
      <xdr:rowOff>69695</xdr:rowOff>
    </xdr:from>
    <xdr:to>
      <xdr:col>33</xdr:col>
      <xdr:colOff>250348</xdr:colOff>
      <xdr:row>52</xdr:row>
      <xdr:rowOff>177800</xdr:rowOff>
    </xdr:to>
    <xdr:graphicFrame>
      <xdr:nvGraphicFramePr>
        <xdr:cNvPr id="2" name="مخطط 1"/>
        <xdr:cNvGraphicFramePr/>
      </xdr:nvGraphicFramePr>
      <xdr:xfrm>
        <a:off x="10572115" y="9222740"/>
        <a:ext cx="941895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25</xdr:row>
      <xdr:rowOff>95763</xdr:rowOff>
    </xdr:from>
    <xdr:to>
      <xdr:col>17</xdr:col>
      <xdr:colOff>612689</xdr:colOff>
      <xdr:row>53</xdr:row>
      <xdr:rowOff>128715</xdr:rowOff>
    </xdr:to>
    <xdr:graphicFrame>
      <xdr:nvGraphicFramePr>
        <xdr:cNvPr id="3" name="مخطط 2"/>
        <xdr:cNvGraphicFramePr/>
      </xdr:nvGraphicFramePr>
      <xdr:xfrm>
        <a:off x="266700" y="9248775"/>
        <a:ext cx="10126345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15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2183110" y="10984865"/>
        <a:ext cx="12426950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13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097661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16</xdr:col>
      <xdr:colOff>179457</xdr:colOff>
      <xdr:row>30</xdr:row>
      <xdr:rowOff>69695</xdr:rowOff>
    </xdr:from>
    <xdr:to>
      <xdr:col>33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3089890" y="10984865"/>
        <a:ext cx="1174051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14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188339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19</xdr:col>
      <xdr:colOff>179457</xdr:colOff>
      <xdr:row>30</xdr:row>
      <xdr:rowOff>69695</xdr:rowOff>
    </xdr:from>
    <xdr:to>
      <xdr:col>36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5482570" y="10984865"/>
        <a:ext cx="1174051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18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4962505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18</xdr:col>
      <xdr:colOff>179457</xdr:colOff>
      <xdr:row>30</xdr:row>
      <xdr:rowOff>69695</xdr:rowOff>
    </xdr:from>
    <xdr:to>
      <xdr:col>38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21229955" y="10984865"/>
        <a:ext cx="19640550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16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9650075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20</xdr:col>
      <xdr:colOff>179457</xdr:colOff>
      <xdr:row>30</xdr:row>
      <xdr:rowOff>69695</xdr:rowOff>
    </xdr:from>
    <xdr:to>
      <xdr:col>35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6169005" y="10984865"/>
        <a:ext cx="1036764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19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564894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21</xdr:col>
      <xdr:colOff>179457</xdr:colOff>
      <xdr:row>30</xdr:row>
      <xdr:rowOff>69695</xdr:rowOff>
    </xdr:from>
    <xdr:to>
      <xdr:col>34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17108805" y="10984865"/>
        <a:ext cx="8994775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20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010900"/>
        <a:ext cx="16588740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28</xdr:col>
      <xdr:colOff>179457</xdr:colOff>
      <xdr:row>30</xdr:row>
      <xdr:rowOff>69695</xdr:rowOff>
    </xdr:from>
    <xdr:to>
      <xdr:col>42</xdr:col>
      <xdr:colOff>250348</xdr:colOff>
      <xdr:row>57</xdr:row>
      <xdr:rowOff>177800</xdr:rowOff>
    </xdr:to>
    <xdr:graphicFrame>
      <xdr:nvGraphicFramePr>
        <xdr:cNvPr id="2" name="مخطط 1"/>
        <xdr:cNvGraphicFramePr/>
      </xdr:nvGraphicFramePr>
      <xdr:xfrm>
        <a:off x="22054185" y="11175365"/>
        <a:ext cx="9681210" cy="525208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30</xdr:row>
      <xdr:rowOff>95763</xdr:rowOff>
    </xdr:from>
    <xdr:to>
      <xdr:col>26</xdr:col>
      <xdr:colOff>612689</xdr:colOff>
      <xdr:row>58</xdr:row>
      <xdr:rowOff>128715</xdr:rowOff>
    </xdr:to>
    <xdr:graphicFrame>
      <xdr:nvGraphicFramePr>
        <xdr:cNvPr id="3" name="مخطط 2"/>
        <xdr:cNvGraphicFramePr/>
      </xdr:nvGraphicFramePr>
      <xdr:xfrm>
        <a:off x="266700" y="11201400"/>
        <a:ext cx="20847685" cy="53670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D2:D5" totalsRowShown="0">
  <autoFilter xmlns:etc="http://www.wps.cn/officeDocument/2017/etCustomData" ref="D2:D5" etc:filterBottomFollowUsedRange="0"/>
  <tableColumns count="1">
    <tableColumn id="1" name="Column1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نسق Offic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tabColor rgb="FFFF0000"/>
  </sheetPr>
  <dimension ref="A1:O21"/>
  <sheetViews>
    <sheetView topLeftCell="A7" workbookViewId="0">
      <selection activeCell="F15" sqref="F15:M15"/>
    </sheetView>
  </sheetViews>
  <sheetFormatPr defaultColWidth="9" defaultRowHeight="15"/>
  <cols>
    <col min="14" max="14" width="40.8952380952381" customWidth="1"/>
    <col min="15" max="15" width="18.8952380952381" customWidth="1"/>
  </cols>
  <sheetData>
    <row r="1" ht="23.25" spans="3:14">
      <c r="C1" s="52"/>
      <c r="D1" s="52"/>
      <c r="E1" s="52"/>
      <c r="F1" s="52"/>
      <c r="G1" s="53"/>
      <c r="H1" s="53"/>
      <c r="I1" s="53"/>
      <c r="J1" s="53"/>
      <c r="K1" s="53"/>
      <c r="L1" s="53"/>
      <c r="M1" s="52"/>
      <c r="N1" s="52"/>
    </row>
    <row r="2" ht="23.25" spans="3:14">
      <c r="C2" s="52"/>
      <c r="D2" s="52"/>
      <c r="E2" s="52"/>
      <c r="F2" s="52"/>
      <c r="G2" s="53"/>
      <c r="H2" s="53"/>
      <c r="I2" s="53"/>
      <c r="J2" s="53"/>
      <c r="K2" s="53"/>
      <c r="L2" s="53"/>
      <c r="M2" s="52"/>
      <c r="N2" s="52"/>
    </row>
    <row r="3" ht="23.25" spans="3:14">
      <c r="C3" s="52"/>
      <c r="D3" s="52"/>
      <c r="E3" s="52"/>
      <c r="F3" s="52"/>
      <c r="G3" s="53"/>
      <c r="H3" s="53"/>
      <c r="I3" s="53"/>
      <c r="J3" s="53"/>
      <c r="K3" s="53"/>
      <c r="L3" s="53"/>
      <c r="M3" s="52"/>
      <c r="N3" s="52"/>
    </row>
    <row r="4" spans="3:14">
      <c r="C4" s="52"/>
      <c r="D4" s="52"/>
      <c r="E4" s="52"/>
      <c r="F4" s="52"/>
      <c r="G4" s="54"/>
      <c r="H4" s="54"/>
      <c r="I4" s="54"/>
      <c r="J4" s="54"/>
      <c r="K4" s="54"/>
      <c r="L4" s="54"/>
      <c r="M4" s="52"/>
      <c r="N4" s="52"/>
    </row>
    <row r="5" spans="3:14">
      <c r="C5" s="52"/>
      <c r="D5" s="52"/>
      <c r="E5" s="52"/>
      <c r="F5" s="52"/>
      <c r="G5" s="52"/>
      <c r="H5" s="52"/>
      <c r="I5" s="52"/>
      <c r="J5" s="52"/>
      <c r="K5" s="52"/>
      <c r="L5" s="52"/>
      <c r="M5" s="52"/>
      <c r="N5" s="52"/>
    </row>
    <row r="6" spans="3:14"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</row>
    <row r="7" spans="3:14"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</row>
    <row r="8" customHeight="1" spans="3:14">
      <c r="C8" s="56" t="s">
        <v>0</v>
      </c>
      <c r="D8" s="57"/>
      <c r="E8" s="57"/>
      <c r="F8" s="57"/>
      <c r="G8" s="57"/>
      <c r="H8" s="57"/>
      <c r="I8" s="57"/>
      <c r="J8" s="57"/>
      <c r="K8" s="57"/>
      <c r="L8" s="57"/>
      <c r="M8" s="57"/>
      <c r="N8" s="73"/>
    </row>
    <row r="9" customHeight="1" spans="3:14">
      <c r="C9" s="58"/>
      <c r="D9" s="59"/>
      <c r="E9" s="59"/>
      <c r="F9" s="59"/>
      <c r="G9" s="59"/>
      <c r="H9" s="59"/>
      <c r="I9" s="59"/>
      <c r="J9" s="59"/>
      <c r="K9" s="59"/>
      <c r="L9" s="59"/>
      <c r="M9" s="59"/>
      <c r="N9" s="74"/>
    </row>
    <row r="10" ht="15.75"/>
    <row r="11" ht="28.5" spans="3:13">
      <c r="C11" s="60" t="s">
        <v>1</v>
      </c>
      <c r="D11" s="61"/>
      <c r="E11" s="61"/>
      <c r="F11" s="62" t="s">
        <v>2</v>
      </c>
      <c r="G11" s="62"/>
      <c r="H11" s="62"/>
      <c r="I11" s="62"/>
      <c r="J11" s="62"/>
      <c r="K11" s="62"/>
      <c r="L11" s="62"/>
      <c r="M11" s="62"/>
    </row>
    <row r="12" ht="28.5" spans="3:13">
      <c r="C12" s="60" t="s">
        <v>3</v>
      </c>
      <c r="D12" s="61"/>
      <c r="E12" s="61"/>
      <c r="F12" s="62" t="s">
        <v>4</v>
      </c>
      <c r="G12" s="62"/>
      <c r="H12" s="62"/>
      <c r="I12" s="62"/>
      <c r="J12" s="62"/>
      <c r="K12" s="62"/>
      <c r="L12" s="62"/>
      <c r="M12" s="62"/>
    </row>
    <row r="13" ht="28.5" spans="3:13">
      <c r="C13" s="60" t="s">
        <v>5</v>
      </c>
      <c r="D13" s="61"/>
      <c r="E13" s="61"/>
      <c r="F13" s="62" t="s">
        <v>6</v>
      </c>
      <c r="G13" s="62"/>
      <c r="H13" s="62"/>
      <c r="I13" s="62"/>
      <c r="J13" s="62"/>
      <c r="K13" s="62"/>
      <c r="L13" s="62"/>
      <c r="M13" s="62"/>
    </row>
    <row r="14" ht="28.5" spans="3:13">
      <c r="C14" s="60" t="s">
        <v>7</v>
      </c>
      <c r="D14" s="61"/>
      <c r="E14" s="61"/>
      <c r="F14" s="62">
        <v>16192833</v>
      </c>
      <c r="G14" s="62"/>
      <c r="H14" s="62"/>
      <c r="I14" s="62"/>
      <c r="J14" s="62"/>
      <c r="K14" s="62"/>
      <c r="L14" s="62"/>
      <c r="M14" s="62"/>
    </row>
    <row r="15" ht="28.5" spans="3:13">
      <c r="C15" s="60" t="s">
        <v>8</v>
      </c>
      <c r="D15" s="61"/>
      <c r="E15" s="61"/>
      <c r="F15" s="62" t="s">
        <v>9</v>
      </c>
      <c r="G15" s="62"/>
      <c r="H15" s="62"/>
      <c r="I15" s="62"/>
      <c r="J15" s="62"/>
      <c r="K15" s="62"/>
      <c r="L15" s="62"/>
      <c r="M15" s="62"/>
    </row>
    <row r="16" ht="15.75"/>
    <row r="17" ht="23.25" spans="2:14">
      <c r="B17" s="63" t="s">
        <v>10</v>
      </c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75"/>
    </row>
    <row r="18" ht="23.25" spans="2:14">
      <c r="B18" s="65" t="s">
        <v>11</v>
      </c>
      <c r="C18" s="66"/>
      <c r="D18" s="66"/>
      <c r="E18" s="66"/>
      <c r="F18" s="66"/>
      <c r="G18" s="66"/>
      <c r="H18" s="66"/>
      <c r="I18" s="66"/>
      <c r="J18" s="66"/>
      <c r="K18" s="66"/>
      <c r="L18" s="66"/>
      <c r="M18" s="66"/>
      <c r="N18" s="76"/>
    </row>
    <row r="19" ht="23.25" spans="2:14">
      <c r="B19" s="67" t="s">
        <v>12</v>
      </c>
      <c r="C19" s="68"/>
      <c r="D19" s="68"/>
      <c r="E19" s="68"/>
      <c r="F19" s="68"/>
      <c r="G19" s="68"/>
      <c r="H19" s="68"/>
      <c r="I19" s="68"/>
      <c r="J19" s="68"/>
      <c r="K19" s="68"/>
      <c r="L19" s="68"/>
      <c r="M19" s="68"/>
      <c r="N19" s="77"/>
    </row>
    <row r="20" ht="23.25" spans="1:15">
      <c r="A20" s="69"/>
      <c r="B20" s="70" t="s">
        <v>13</v>
      </c>
      <c r="C20" s="71"/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8"/>
      <c r="O20" s="79"/>
    </row>
    <row r="21" ht="23.25" spans="1:14">
      <c r="A21" s="69"/>
      <c r="B21" s="72" t="s">
        <v>14</v>
      </c>
      <c r="C21" s="72"/>
      <c r="D21" s="72"/>
      <c r="E21" s="72"/>
      <c r="F21" s="72"/>
      <c r="G21" s="72"/>
      <c r="H21" s="72"/>
      <c r="I21" s="72"/>
      <c r="J21" s="72"/>
      <c r="K21" s="72"/>
      <c r="L21" s="72"/>
      <c r="M21" s="72"/>
      <c r="N21" s="80"/>
    </row>
  </sheetData>
  <mergeCells count="15">
    <mergeCell ref="C11:E11"/>
    <mergeCell ref="F11:M11"/>
    <mergeCell ref="C12:E12"/>
    <mergeCell ref="F12:M12"/>
    <mergeCell ref="C13:E13"/>
    <mergeCell ref="F13:M13"/>
    <mergeCell ref="C14:E14"/>
    <mergeCell ref="F14:M14"/>
    <mergeCell ref="C15:E15"/>
    <mergeCell ref="F15:M15"/>
    <mergeCell ref="B17:N17"/>
    <mergeCell ref="B18:N18"/>
    <mergeCell ref="B19:N19"/>
    <mergeCell ref="B21:N21"/>
    <mergeCell ref="C8:N9"/>
  </mergeCells>
  <pageMargins left="0.7" right="0.7" top="0.75" bottom="0.75" header="0.3" footer="0.3"/>
  <pageSetup paperSize="1" orientation="landscape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3" tint="0.399975585192419"/>
  </sheetPr>
  <dimension ref="A3:AQ58"/>
  <sheetViews>
    <sheetView zoomScale="70" zoomScaleNormal="70" workbookViewId="0">
      <pane ySplit="4" topLeftCell="A6" activePane="bottomLeft" state="frozen"/>
      <selection/>
      <selection pane="bottomLeft" activeCell="B18" sqref="B18"/>
    </sheetView>
  </sheetViews>
  <sheetFormatPr defaultColWidth="9" defaultRowHeight="15"/>
  <cols>
    <col min="1" max="1" width="4" style="3" customWidth="1"/>
    <col min="2" max="2" width="37.0952380952381" style="3" customWidth="1"/>
    <col min="3" max="32" width="11.8952380952381" customWidth="1"/>
    <col min="33" max="33" width="11.2952380952381" customWidth="1"/>
    <col min="34" max="34" width="14.6" customWidth="1"/>
    <col min="35" max="35" width="20.0952380952381" customWidth="1"/>
    <col min="36" max="36" width="16.2952380952381" customWidth="1"/>
    <col min="37" max="37" width="9.09523809523809" customWidth="1"/>
    <col min="38" max="38" width="0.295238095238095" customWidth="1"/>
    <col min="39" max="39" width="16.6952380952381" customWidth="1"/>
    <col min="40" max="40" width="16" customWidth="1"/>
    <col min="41" max="41" width="15.2952380952381" customWidth="1"/>
    <col min="42" max="42" width="15.6" customWidth="1"/>
    <col min="43" max="43" width="16" customWidth="1"/>
  </cols>
  <sheetData>
    <row r="3" ht="50.25" customHeight="1" spans="1:36">
      <c r="A3" s="4" t="s">
        <v>15</v>
      </c>
      <c r="B3" s="5" t="s">
        <v>16</v>
      </c>
      <c r="C3" s="6">
        <v>1</v>
      </c>
      <c r="D3" s="6">
        <v>2</v>
      </c>
      <c r="E3" s="6" t="s">
        <v>17</v>
      </c>
      <c r="F3" s="6" t="s">
        <v>18</v>
      </c>
      <c r="G3" s="6" t="s">
        <v>19</v>
      </c>
      <c r="H3" s="6" t="s">
        <v>20</v>
      </c>
      <c r="I3" s="6" t="s">
        <v>21</v>
      </c>
      <c r="J3" s="6" t="s">
        <v>22</v>
      </c>
      <c r="K3" s="6">
        <v>5</v>
      </c>
      <c r="L3" s="6">
        <v>6</v>
      </c>
      <c r="M3" s="6">
        <v>7</v>
      </c>
      <c r="N3" s="6">
        <v>8</v>
      </c>
      <c r="O3" s="6">
        <v>9</v>
      </c>
      <c r="P3" s="6">
        <v>10</v>
      </c>
      <c r="Q3" s="6" t="s">
        <v>23</v>
      </c>
      <c r="R3" s="6" t="s">
        <v>24</v>
      </c>
      <c r="S3" s="6" t="s">
        <v>25</v>
      </c>
      <c r="T3" s="6" t="s">
        <v>26</v>
      </c>
      <c r="U3" s="6">
        <v>13</v>
      </c>
      <c r="V3" s="6">
        <v>14</v>
      </c>
      <c r="W3" s="6">
        <v>15</v>
      </c>
      <c r="X3" s="6" t="s">
        <v>27</v>
      </c>
      <c r="Y3" s="6" t="s">
        <v>28</v>
      </c>
      <c r="Z3" s="6" t="s">
        <v>29</v>
      </c>
      <c r="AA3" s="6" t="s">
        <v>30</v>
      </c>
      <c r="AB3" s="6">
        <v>18</v>
      </c>
      <c r="AC3" s="6" t="s">
        <v>31</v>
      </c>
      <c r="AD3" s="6" t="s">
        <v>32</v>
      </c>
      <c r="AE3" s="6">
        <v>20</v>
      </c>
      <c r="AF3" s="6">
        <v>21</v>
      </c>
      <c r="AG3" s="28" t="s">
        <v>33</v>
      </c>
      <c r="AH3" s="29" t="s">
        <v>34</v>
      </c>
      <c r="AI3" s="30" t="s">
        <v>35</v>
      </c>
      <c r="AJ3" s="31" t="s">
        <v>36</v>
      </c>
    </row>
    <row r="4" ht="69" customHeight="1" spans="1:43">
      <c r="A4" s="7"/>
      <c r="B4" s="8" t="s">
        <v>37</v>
      </c>
      <c r="C4" s="9"/>
      <c r="D4" s="21"/>
      <c r="E4" s="9"/>
      <c r="F4" s="21"/>
      <c r="G4" s="11"/>
      <c r="H4" s="9"/>
      <c r="I4" s="11"/>
      <c r="J4" s="21"/>
      <c r="K4" s="9"/>
      <c r="L4" s="9"/>
      <c r="M4" s="9"/>
      <c r="N4" s="21"/>
      <c r="O4" s="23"/>
      <c r="P4" s="24"/>
      <c r="Q4" s="22"/>
      <c r="R4" s="24"/>
      <c r="S4" s="22"/>
      <c r="T4" s="24"/>
      <c r="U4" s="22"/>
      <c r="V4" s="23"/>
      <c r="W4" s="24"/>
      <c r="X4" s="24"/>
      <c r="Y4" s="22"/>
      <c r="Z4" s="23"/>
      <c r="AA4" s="22"/>
      <c r="AB4" s="24"/>
      <c r="AC4" s="33"/>
      <c r="AD4" s="33"/>
      <c r="AE4" s="34"/>
      <c r="AF4" s="34"/>
      <c r="AG4" s="34">
        <f t="shared" ref="AG4:AG24" si="0">SUM(C4:AF4)</f>
        <v>0</v>
      </c>
      <c r="AH4" s="11">
        <f>AB4+X4+W4+T4+R4+P4+I4+G4</f>
        <v>0</v>
      </c>
      <c r="AI4" s="21">
        <f>AD4+AC4+AA4+Y4+U4+S4+Q4+N4+J4+F4+D4</f>
        <v>0</v>
      </c>
      <c r="AJ4" s="9">
        <f>AF4+AE4+Z4+V4+O4+M4+L4+K4+H4+E4+C4</f>
        <v>0</v>
      </c>
      <c r="AM4" s="40" t="s">
        <v>38</v>
      </c>
      <c r="AN4" s="11" t="s">
        <v>39</v>
      </c>
      <c r="AO4" s="9" t="s">
        <v>40</v>
      </c>
      <c r="AP4" s="41" t="s">
        <v>41</v>
      </c>
      <c r="AQ4" s="21" t="s">
        <v>42</v>
      </c>
    </row>
    <row r="5" ht="27.75" spans="1:43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34">
        <f t="shared" si="0"/>
        <v>0</v>
      </c>
      <c r="AH5" s="11">
        <f t="shared" ref="AH5:AH24" si="1">AB5+X5+W5+T5+R5+P5+I5+G5</f>
        <v>0</v>
      </c>
      <c r="AI5" s="21">
        <f t="shared" ref="AI5:AI24" si="2">AD5+AC5+AA5+Y5+U5+S5+Q5+N5+J5+F5+D5</f>
        <v>0</v>
      </c>
      <c r="AJ5" s="9">
        <f t="shared" ref="AJ5:AJ24" si="3">AF5+AE5+Z5+V5+O5+M5+L5+K5+H5+E5+C5</f>
        <v>0</v>
      </c>
      <c r="AM5" s="42" t="s">
        <v>43</v>
      </c>
      <c r="AN5" s="11" t="s">
        <v>44</v>
      </c>
      <c r="AO5" s="9" t="s">
        <v>45</v>
      </c>
      <c r="AP5" s="41" t="s">
        <v>46</v>
      </c>
      <c r="AQ5" s="21" t="s">
        <v>47</v>
      </c>
    </row>
    <row r="6" ht="27.75" spans="1:43">
      <c r="A6" s="12">
        <v>2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34">
        <f t="shared" si="0"/>
        <v>0</v>
      </c>
      <c r="AH6" s="11">
        <f t="shared" si="1"/>
        <v>0</v>
      </c>
      <c r="AI6" s="21">
        <f t="shared" si="2"/>
        <v>0</v>
      </c>
      <c r="AJ6" s="9">
        <f t="shared" si="3"/>
        <v>0</v>
      </c>
      <c r="AM6">
        <v>71</v>
      </c>
      <c r="AN6">
        <v>71</v>
      </c>
      <c r="AO6">
        <v>71</v>
      </c>
      <c r="AP6">
        <v>71</v>
      </c>
      <c r="AQ6">
        <v>71</v>
      </c>
    </row>
    <row r="7" ht="27.75" spans="1:36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34">
        <f t="shared" si="0"/>
        <v>0</v>
      </c>
      <c r="AH7" s="11">
        <f t="shared" si="1"/>
        <v>0</v>
      </c>
      <c r="AI7" s="21">
        <f t="shared" si="2"/>
        <v>0</v>
      </c>
      <c r="AJ7" s="9">
        <f t="shared" si="3"/>
        <v>0</v>
      </c>
    </row>
    <row r="8" ht="27.75" spans="1:36">
      <c r="A8" s="12">
        <v>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34">
        <f t="shared" si="0"/>
        <v>0</v>
      </c>
      <c r="AH8" s="11">
        <f t="shared" si="1"/>
        <v>0</v>
      </c>
      <c r="AI8" s="21">
        <f t="shared" si="2"/>
        <v>0</v>
      </c>
      <c r="AJ8" s="9">
        <f t="shared" si="3"/>
        <v>0</v>
      </c>
    </row>
    <row r="9" ht="27.75" spans="1:36">
      <c r="A9" s="12">
        <v>5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34">
        <f t="shared" si="0"/>
        <v>0</v>
      </c>
      <c r="AH9" s="11">
        <f t="shared" si="1"/>
        <v>0</v>
      </c>
      <c r="AI9" s="21">
        <f t="shared" si="2"/>
        <v>0</v>
      </c>
      <c r="AJ9" s="9">
        <f t="shared" si="3"/>
        <v>0</v>
      </c>
    </row>
    <row r="10" ht="27.75" spans="1:36">
      <c r="A10" s="12">
        <v>6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34">
        <f t="shared" si="0"/>
        <v>0</v>
      </c>
      <c r="AH10" s="11">
        <f t="shared" si="1"/>
        <v>0</v>
      </c>
      <c r="AI10" s="21">
        <f t="shared" si="2"/>
        <v>0</v>
      </c>
      <c r="AJ10" s="9">
        <f t="shared" si="3"/>
        <v>0</v>
      </c>
    </row>
    <row r="11" ht="27.75" spans="1:36">
      <c r="A11" s="12">
        <v>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34">
        <f t="shared" si="0"/>
        <v>0</v>
      </c>
      <c r="AH11" s="11">
        <f t="shared" si="1"/>
        <v>0</v>
      </c>
      <c r="AI11" s="21">
        <f t="shared" si="2"/>
        <v>0</v>
      </c>
      <c r="AJ11" s="9">
        <f t="shared" si="3"/>
        <v>0</v>
      </c>
    </row>
    <row r="12" ht="27.75" spans="1:36">
      <c r="A12" s="12">
        <v>8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34">
        <f t="shared" si="0"/>
        <v>0</v>
      </c>
      <c r="AH12" s="11">
        <f t="shared" si="1"/>
        <v>0</v>
      </c>
      <c r="AI12" s="21">
        <f t="shared" si="2"/>
        <v>0</v>
      </c>
      <c r="AJ12" s="9">
        <f t="shared" si="3"/>
        <v>0</v>
      </c>
    </row>
    <row r="13" ht="27.75" spans="1:36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34">
        <f t="shared" si="0"/>
        <v>0</v>
      </c>
      <c r="AH13" s="11">
        <f t="shared" si="1"/>
        <v>0</v>
      </c>
      <c r="AI13" s="21">
        <f t="shared" si="2"/>
        <v>0</v>
      </c>
      <c r="AJ13" s="9">
        <f t="shared" si="3"/>
        <v>0</v>
      </c>
    </row>
    <row r="14" ht="27.75" spans="1:36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34">
        <f t="shared" si="0"/>
        <v>0</v>
      </c>
      <c r="AH14" s="11">
        <f t="shared" si="1"/>
        <v>0</v>
      </c>
      <c r="AI14" s="21">
        <f t="shared" si="2"/>
        <v>0</v>
      </c>
      <c r="AJ14" s="9">
        <f t="shared" si="3"/>
        <v>0</v>
      </c>
    </row>
    <row r="15" ht="27.75" spans="1:36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34">
        <f t="shared" si="0"/>
        <v>0</v>
      </c>
      <c r="AH15" s="11">
        <f t="shared" si="1"/>
        <v>0</v>
      </c>
      <c r="AI15" s="21">
        <f t="shared" si="2"/>
        <v>0</v>
      </c>
      <c r="AJ15" s="9">
        <f t="shared" si="3"/>
        <v>0</v>
      </c>
    </row>
    <row r="16" ht="27.75" spans="1:36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34">
        <f t="shared" si="0"/>
        <v>0</v>
      </c>
      <c r="AH16" s="11">
        <f t="shared" si="1"/>
        <v>0</v>
      </c>
      <c r="AI16" s="21">
        <f t="shared" si="2"/>
        <v>0</v>
      </c>
      <c r="AJ16" s="9">
        <f t="shared" si="3"/>
        <v>0</v>
      </c>
    </row>
    <row r="17" ht="27.75" spans="1:36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34">
        <f t="shared" si="0"/>
        <v>0</v>
      </c>
      <c r="AH17" s="11">
        <f t="shared" si="1"/>
        <v>0</v>
      </c>
      <c r="AI17" s="21">
        <f t="shared" si="2"/>
        <v>0</v>
      </c>
      <c r="AJ17" s="9">
        <f t="shared" si="3"/>
        <v>0</v>
      </c>
    </row>
    <row r="18" ht="27.75" spans="1:36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34">
        <f t="shared" si="0"/>
        <v>0</v>
      </c>
      <c r="AH18" s="11">
        <f t="shared" si="1"/>
        <v>0</v>
      </c>
      <c r="AI18" s="21">
        <f t="shared" si="2"/>
        <v>0</v>
      </c>
      <c r="AJ18" s="9">
        <f t="shared" si="3"/>
        <v>0</v>
      </c>
    </row>
    <row r="19" ht="27.75" spans="1:36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34">
        <f t="shared" si="0"/>
        <v>0</v>
      </c>
      <c r="AH19" s="11">
        <f t="shared" si="1"/>
        <v>0</v>
      </c>
      <c r="AI19" s="21">
        <f t="shared" si="2"/>
        <v>0</v>
      </c>
      <c r="AJ19" s="9">
        <f t="shared" si="3"/>
        <v>0</v>
      </c>
    </row>
    <row r="20" ht="27.75" spans="1:36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34">
        <f t="shared" si="0"/>
        <v>0</v>
      </c>
      <c r="AH20" s="11">
        <f t="shared" si="1"/>
        <v>0</v>
      </c>
      <c r="AI20" s="21">
        <f t="shared" si="2"/>
        <v>0</v>
      </c>
      <c r="AJ20" s="9">
        <f t="shared" si="3"/>
        <v>0</v>
      </c>
    </row>
    <row r="21" ht="27.75" spans="1:36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34">
        <f t="shared" si="0"/>
        <v>0</v>
      </c>
      <c r="AH21" s="11">
        <f t="shared" si="1"/>
        <v>0</v>
      </c>
      <c r="AI21" s="21">
        <f t="shared" si="2"/>
        <v>0</v>
      </c>
      <c r="AJ21" s="9">
        <f t="shared" si="3"/>
        <v>0</v>
      </c>
    </row>
    <row r="22" ht="27.75" spans="1:36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34">
        <f t="shared" si="0"/>
        <v>0</v>
      </c>
      <c r="AH22" s="11">
        <f t="shared" si="1"/>
        <v>0</v>
      </c>
      <c r="AI22" s="21">
        <f t="shared" si="2"/>
        <v>0</v>
      </c>
      <c r="AJ22" s="9">
        <f t="shared" si="3"/>
        <v>0</v>
      </c>
    </row>
    <row r="23" ht="27.75" spans="1:36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34">
        <f t="shared" si="0"/>
        <v>0</v>
      </c>
      <c r="AH23" s="11">
        <f t="shared" si="1"/>
        <v>0</v>
      </c>
      <c r="AI23" s="21">
        <f t="shared" si="2"/>
        <v>0</v>
      </c>
      <c r="AJ23" s="9">
        <f t="shared" si="3"/>
        <v>0</v>
      </c>
    </row>
    <row r="24" ht="27.75" spans="1:36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34">
        <f t="shared" si="0"/>
        <v>0</v>
      </c>
      <c r="AH24" s="11">
        <f t="shared" si="1"/>
        <v>0</v>
      </c>
      <c r="AI24" s="21">
        <f t="shared" si="2"/>
        <v>0</v>
      </c>
      <c r="AJ24" s="9">
        <f t="shared" si="3"/>
        <v>0</v>
      </c>
    </row>
    <row r="25" ht="28.5" spans="1:36">
      <c r="A25" s="15" t="s">
        <v>48</v>
      </c>
      <c r="B25" s="16"/>
      <c r="C25" s="17" t="e">
        <f>AVERAGE(C5:C24)</f>
        <v>#DIV/0!</v>
      </c>
      <c r="D25" s="17" t="e">
        <f t="shared" ref="D25" si="4">AVERAGE(D5:D24)</f>
        <v>#DIV/0!</v>
      </c>
      <c r="E25" s="17" t="e">
        <f t="shared" ref="E25" si="5">AVERAGE(E5:E24)</f>
        <v>#DIV/0!</v>
      </c>
      <c r="F25" s="17" t="e">
        <f t="shared" ref="F25" si="6">AVERAGE(F5:F24)</f>
        <v>#DIV/0!</v>
      </c>
      <c r="G25" s="17" t="e">
        <f t="shared" ref="G25" si="7">AVERAGE(G5:G24)</f>
        <v>#DIV/0!</v>
      </c>
      <c r="H25" s="17" t="e">
        <f t="shared" ref="H25" si="8">AVERAGE(H5:H24)</f>
        <v>#DIV/0!</v>
      </c>
      <c r="I25" s="17" t="e">
        <f t="shared" ref="I25" si="9">AVERAGE(I5:I24)</f>
        <v>#DIV/0!</v>
      </c>
      <c r="J25" s="17" t="e">
        <f t="shared" ref="J25" si="10">AVERAGE(J5:J24)</f>
        <v>#DIV/0!</v>
      </c>
      <c r="K25" s="17" t="e">
        <f t="shared" ref="K25" si="11">AVERAGE(K5:K24)</f>
        <v>#DIV/0!</v>
      </c>
      <c r="L25" s="17" t="e">
        <f t="shared" ref="L25" si="12">AVERAGE(L5:L24)</f>
        <v>#DIV/0!</v>
      </c>
      <c r="M25" s="17" t="e">
        <f t="shared" ref="M25" si="13">AVERAGE(M5:M24)</f>
        <v>#DIV/0!</v>
      </c>
      <c r="N25" s="17" t="e">
        <f t="shared" ref="N25" si="14">AVERAGE(N5:N24)</f>
        <v>#DIV/0!</v>
      </c>
      <c r="O25" s="17" t="e">
        <f t="shared" ref="O25" si="15">AVERAGE(O5:O24)</f>
        <v>#DIV/0!</v>
      </c>
      <c r="P25" s="17" t="e">
        <f t="shared" ref="P25" si="16">AVERAGE(P5:P24)</f>
        <v>#DIV/0!</v>
      </c>
      <c r="Q25" s="17" t="e">
        <f t="shared" ref="Q25" si="17">AVERAGE(Q5:Q24)</f>
        <v>#DIV/0!</v>
      </c>
      <c r="R25" s="17" t="e">
        <f t="shared" ref="R25" si="18">AVERAGE(R5:R24)</f>
        <v>#DIV/0!</v>
      </c>
      <c r="S25" s="17" t="e">
        <f t="shared" ref="S25" si="19">AVERAGE(S5:S24)</f>
        <v>#DIV/0!</v>
      </c>
      <c r="T25" s="17" t="e">
        <f t="shared" ref="T25" si="20">AVERAGE(T5:T24)</f>
        <v>#DIV/0!</v>
      </c>
      <c r="U25" s="17" t="e">
        <f t="shared" ref="U25" si="21">AVERAGE(U5:U24)</f>
        <v>#DIV/0!</v>
      </c>
      <c r="V25" s="17" t="e">
        <f t="shared" ref="V25" si="22">AVERAGE(V5:V24)</f>
        <v>#DIV/0!</v>
      </c>
      <c r="W25" s="17" t="e">
        <f t="shared" ref="W25" si="23">AVERAGE(W5:W24)</f>
        <v>#DIV/0!</v>
      </c>
      <c r="X25" s="17" t="e">
        <f t="shared" ref="X25" si="24">AVERAGE(X5:X24)</f>
        <v>#DIV/0!</v>
      </c>
      <c r="Y25" s="17" t="e">
        <f t="shared" ref="Y25" si="25">AVERAGE(Y5:Y24)</f>
        <v>#DIV/0!</v>
      </c>
      <c r="Z25" s="17" t="e">
        <f t="shared" ref="Z25" si="26">AVERAGE(Z5:Z24)</f>
        <v>#DIV/0!</v>
      </c>
      <c r="AA25" s="17" t="e">
        <f t="shared" ref="AA25" si="27">AVERAGE(AA5:AA24)</f>
        <v>#DIV/0!</v>
      </c>
      <c r="AB25" s="17" t="e">
        <f t="shared" ref="AB25" si="28">AVERAGE(AB5:AB24)</f>
        <v>#DIV/0!</v>
      </c>
      <c r="AC25" s="17" t="e">
        <f t="shared" ref="AC25" si="29">AVERAGE(AC5:AC24)</f>
        <v>#DIV/0!</v>
      </c>
      <c r="AD25" s="17" t="e">
        <f t="shared" ref="AD25" si="30">AVERAGE(AD5:AD24)</f>
        <v>#DIV/0!</v>
      </c>
      <c r="AE25" s="17" t="e">
        <f t="shared" ref="AE25" si="31">AVERAGE(AE5:AE24)</f>
        <v>#DIV/0!</v>
      </c>
      <c r="AF25" s="17" t="e">
        <f t="shared" ref="AF25:AJ25" si="32">AVERAGE(AF5:AF24)</f>
        <v>#DIV/0!</v>
      </c>
      <c r="AG25" s="17">
        <f t="shared" si="32"/>
        <v>0</v>
      </c>
      <c r="AH25" s="17">
        <f t="shared" si="32"/>
        <v>0</v>
      </c>
      <c r="AI25" s="17">
        <f t="shared" si="32"/>
        <v>0</v>
      </c>
      <c r="AJ25" s="17">
        <f t="shared" si="32"/>
        <v>0</v>
      </c>
    </row>
    <row r="26" ht="51.75" customHeight="1" spans="1:36">
      <c r="A26" s="15"/>
      <c r="B26" s="16" t="s">
        <v>49</v>
      </c>
      <c r="C26" s="18" t="e">
        <f t="shared" ref="C26:AJ26" si="33">C25/C4*100</f>
        <v>#DIV/0!</v>
      </c>
      <c r="D26" s="18" t="e">
        <f t="shared" si="33"/>
        <v>#DIV/0!</v>
      </c>
      <c r="E26" s="18" t="e">
        <f t="shared" si="33"/>
        <v>#DIV/0!</v>
      </c>
      <c r="F26" s="18" t="e">
        <f t="shared" si="33"/>
        <v>#DIV/0!</v>
      </c>
      <c r="G26" s="18" t="e">
        <f t="shared" si="33"/>
        <v>#DIV/0!</v>
      </c>
      <c r="H26" s="18" t="e">
        <f t="shared" si="33"/>
        <v>#DIV/0!</v>
      </c>
      <c r="I26" s="18" t="e">
        <f t="shared" si="33"/>
        <v>#DIV/0!</v>
      </c>
      <c r="J26" s="18" t="e">
        <f t="shared" si="33"/>
        <v>#DIV/0!</v>
      </c>
      <c r="K26" s="18" t="e">
        <f t="shared" si="33"/>
        <v>#DIV/0!</v>
      </c>
      <c r="L26" s="18" t="e">
        <f t="shared" si="33"/>
        <v>#DIV/0!</v>
      </c>
      <c r="M26" s="18" t="e">
        <f t="shared" si="33"/>
        <v>#DIV/0!</v>
      </c>
      <c r="N26" s="18" t="e">
        <f t="shared" si="33"/>
        <v>#DIV/0!</v>
      </c>
      <c r="O26" s="18" t="e">
        <f t="shared" si="33"/>
        <v>#DIV/0!</v>
      </c>
      <c r="P26" s="18" t="e">
        <f t="shared" si="33"/>
        <v>#DIV/0!</v>
      </c>
      <c r="Q26" s="18" t="e">
        <f t="shared" si="33"/>
        <v>#DIV/0!</v>
      </c>
      <c r="R26" s="18" t="e">
        <f t="shared" si="33"/>
        <v>#DIV/0!</v>
      </c>
      <c r="S26" s="18" t="e">
        <f t="shared" si="33"/>
        <v>#DIV/0!</v>
      </c>
      <c r="T26" s="18" t="e">
        <f t="shared" si="33"/>
        <v>#DIV/0!</v>
      </c>
      <c r="U26" s="18" t="e">
        <f t="shared" si="33"/>
        <v>#DIV/0!</v>
      </c>
      <c r="V26" s="18" t="e">
        <f t="shared" si="33"/>
        <v>#DIV/0!</v>
      </c>
      <c r="W26" s="18" t="e">
        <f t="shared" si="33"/>
        <v>#DIV/0!</v>
      </c>
      <c r="X26" s="18" t="e">
        <f t="shared" si="33"/>
        <v>#DIV/0!</v>
      </c>
      <c r="Y26" s="18" t="e">
        <f t="shared" si="33"/>
        <v>#DIV/0!</v>
      </c>
      <c r="Z26" s="18" t="e">
        <f t="shared" si="33"/>
        <v>#DIV/0!</v>
      </c>
      <c r="AA26" s="18" t="e">
        <f t="shared" si="33"/>
        <v>#DIV/0!</v>
      </c>
      <c r="AB26" s="18" t="e">
        <f t="shared" si="33"/>
        <v>#DIV/0!</v>
      </c>
      <c r="AC26" s="18" t="e">
        <f t="shared" si="33"/>
        <v>#DIV/0!</v>
      </c>
      <c r="AD26" s="18" t="e">
        <f t="shared" si="33"/>
        <v>#DIV/0!</v>
      </c>
      <c r="AE26" s="18" t="e">
        <f t="shared" si="33"/>
        <v>#DIV/0!</v>
      </c>
      <c r="AF26" s="18" t="e">
        <f t="shared" si="33"/>
        <v>#DIV/0!</v>
      </c>
      <c r="AG26" s="18" t="e">
        <f t="shared" si="33"/>
        <v>#DIV/0!</v>
      </c>
      <c r="AH26" s="18" t="e">
        <f t="shared" si="33"/>
        <v>#DIV/0!</v>
      </c>
      <c r="AI26" s="18" t="e">
        <f t="shared" si="33"/>
        <v>#DIV/0!</v>
      </c>
      <c r="AJ26" s="18" t="e">
        <f t="shared" si="33"/>
        <v>#DIV/0!</v>
      </c>
    </row>
    <row r="27" ht="29.25" spans="1:36">
      <c r="A27" s="19" t="s">
        <v>50</v>
      </c>
      <c r="B27" s="20"/>
      <c r="C27" s="18" t="e">
        <f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ref="D27:AJ27" si="34">IF(D26&gt;70,"مستوى متميز",IF(D26&gt;60,"مستوى جيد",IF(D26&gt;50,"مستوى ملائم",IF(D26&gt;=40,"مستوى غير ملائم"," يحتاج الى تدخل سريع"))))</f>
        <v>#DIV/0!</v>
      </c>
      <c r="E27" s="18" t="e">
        <f t="shared" si="34"/>
        <v>#DIV/0!</v>
      </c>
      <c r="F27" s="18" t="e">
        <f t="shared" si="34"/>
        <v>#DIV/0!</v>
      </c>
      <c r="G27" s="18" t="e">
        <f t="shared" si="34"/>
        <v>#DIV/0!</v>
      </c>
      <c r="H27" s="18" t="e">
        <f t="shared" si="34"/>
        <v>#DIV/0!</v>
      </c>
      <c r="I27" s="18" t="e">
        <f t="shared" si="34"/>
        <v>#DIV/0!</v>
      </c>
      <c r="J27" s="18" t="e">
        <f t="shared" si="34"/>
        <v>#DIV/0!</v>
      </c>
      <c r="K27" s="18" t="e">
        <f t="shared" si="34"/>
        <v>#DIV/0!</v>
      </c>
      <c r="L27" s="18" t="e">
        <f t="shared" si="34"/>
        <v>#DIV/0!</v>
      </c>
      <c r="M27" s="18" t="e">
        <f t="shared" si="34"/>
        <v>#DIV/0!</v>
      </c>
      <c r="N27" s="18" t="e">
        <f t="shared" si="34"/>
        <v>#DIV/0!</v>
      </c>
      <c r="O27" s="18" t="e">
        <f t="shared" si="34"/>
        <v>#DIV/0!</v>
      </c>
      <c r="P27" s="18" t="e">
        <f t="shared" si="34"/>
        <v>#DIV/0!</v>
      </c>
      <c r="Q27" s="18" t="e">
        <f t="shared" si="34"/>
        <v>#DIV/0!</v>
      </c>
      <c r="R27" s="18" t="e">
        <f t="shared" si="34"/>
        <v>#DIV/0!</v>
      </c>
      <c r="S27" s="18" t="e">
        <f t="shared" si="34"/>
        <v>#DIV/0!</v>
      </c>
      <c r="T27" s="18" t="e">
        <f t="shared" si="34"/>
        <v>#DIV/0!</v>
      </c>
      <c r="U27" s="18" t="e">
        <f t="shared" si="34"/>
        <v>#DIV/0!</v>
      </c>
      <c r="V27" s="18" t="e">
        <f t="shared" si="34"/>
        <v>#DIV/0!</v>
      </c>
      <c r="W27" s="18" t="e">
        <f t="shared" si="34"/>
        <v>#DIV/0!</v>
      </c>
      <c r="X27" s="18" t="e">
        <f t="shared" si="34"/>
        <v>#DIV/0!</v>
      </c>
      <c r="Y27" s="18" t="e">
        <f t="shared" si="34"/>
        <v>#DIV/0!</v>
      </c>
      <c r="Z27" s="18" t="e">
        <f t="shared" si="34"/>
        <v>#DIV/0!</v>
      </c>
      <c r="AA27" s="18" t="e">
        <f t="shared" si="34"/>
        <v>#DIV/0!</v>
      </c>
      <c r="AB27" s="18" t="e">
        <f t="shared" si="34"/>
        <v>#DIV/0!</v>
      </c>
      <c r="AC27" s="18" t="e">
        <f t="shared" si="34"/>
        <v>#DIV/0!</v>
      </c>
      <c r="AD27" s="18" t="e">
        <f t="shared" si="34"/>
        <v>#DIV/0!</v>
      </c>
      <c r="AE27" s="18" t="e">
        <f t="shared" si="34"/>
        <v>#DIV/0!</v>
      </c>
      <c r="AF27" s="18" t="e">
        <f t="shared" si="34"/>
        <v>#DIV/0!</v>
      </c>
      <c r="AG27" s="18" t="e">
        <f t="shared" si="34"/>
        <v>#DIV/0!</v>
      </c>
      <c r="AH27" s="18" t="e">
        <f t="shared" si="34"/>
        <v>#DIV/0!</v>
      </c>
      <c r="AI27" s="18" t="e">
        <f t="shared" si="34"/>
        <v>#DIV/0!</v>
      </c>
      <c r="AJ27" s="18" t="e">
        <f t="shared" si="34"/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N6:AQ6">
    <cfRule type="expression" dxfId="0" priority="2">
      <formula>"0&lt;40"</formula>
    </cfRule>
  </conditionalFormatting>
  <conditionalFormatting sqref="C26:AJ26">
    <cfRule type="cellIs" dxfId="1" priority="1" operator="between">
      <formula>40</formula>
      <formula>50</formula>
    </cfRule>
    <cfRule type="cellIs" dxfId="2" priority="65" operator="greaterThan">
      <formula>70</formula>
    </cfRule>
    <cfRule type="cellIs" dxfId="3" priority="68" operator="between">
      <formula>60</formula>
      <formula>70</formula>
    </cfRule>
    <cfRule type="cellIs" dxfId="4" priority="70" operator="lessThan">
      <formula>40</formula>
    </cfRule>
    <cfRule type="cellIs" dxfId="5" priority="72" operator="between">
      <formula>50</formula>
      <formula>60</formula>
    </cfRule>
  </conditionalFormatting>
  <conditionalFormatting sqref="C27:AJ27">
    <cfRule type="cellIs" dxfId="2" priority="93" operator="between">
      <formula>70</formula>
      <formula>100</formula>
    </cfRule>
  </conditionalFormatting>
  <conditionalFormatting sqref="C5:AF24">
    <cfRule type="cellIs" dxfId="6" priority="209" operator="between">
      <formula>1</formula>
      <formula>5</formula>
    </cfRule>
    <cfRule type="cellIs" dxfId="7" priority="210" operator="lessThan">
      <formula>1</formula>
    </cfRule>
    <cfRule type="containsText" dxfId="8" priority="211" operator="between" text="0">
      <formula>NOT(ISERROR(SEARCH("0",C5)))</formula>
    </cfRule>
    <cfRule type="containsText" dxfId="9" priority="212" operator="between" text="0">
      <formula>NOT(ISERROR(SEARCH("0",C5)))</formula>
    </cfRule>
    <cfRule type="containsText" dxfId="10" priority="215" operator="between" text="1">
      <formula>NOT(ISERROR(SEARCH("1",C5)))</formula>
    </cfRule>
    <cfRule type="containsText" dxfId="11" priority="216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AP58"/>
  <sheetViews>
    <sheetView zoomScale="80" zoomScaleNormal="80" zoomScaleSheetLayoutView="80" topLeftCell="K1" workbookViewId="0">
      <pane ySplit="4" topLeftCell="A5" activePane="bottomLeft" state="frozen"/>
      <selection/>
      <selection pane="bottomLeft" activeCell="AF13" sqref="AF13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4" width="11.0952380952381" customWidth="1"/>
    <col min="5" max="5" width="14.6" customWidth="1"/>
    <col min="6" max="31" width="10.2952380952381" customWidth="1"/>
    <col min="32" max="32" width="13" customWidth="1"/>
    <col min="33" max="33" width="14.6" customWidth="1"/>
    <col min="34" max="34" width="20.0952380952381" customWidth="1"/>
    <col min="35" max="35" width="16.2952380952381" customWidth="1"/>
    <col min="36" max="36" width="9.09523809523809" customWidth="1"/>
    <col min="37" max="37" width="0.295238095238095" customWidth="1"/>
    <col min="38" max="38" width="16.6952380952381" customWidth="1"/>
    <col min="39" max="39" width="16" customWidth="1"/>
    <col min="40" max="40" width="15.2952380952381" customWidth="1"/>
    <col min="41" max="41" width="15.6" customWidth="1"/>
    <col min="42" max="42" width="16" customWidth="1"/>
  </cols>
  <sheetData>
    <row r="3" ht="50.25" customHeight="1" spans="1:35">
      <c r="A3" s="4" t="s">
        <v>15</v>
      </c>
      <c r="B3" s="5" t="s">
        <v>16</v>
      </c>
      <c r="C3" s="6">
        <v>1</v>
      </c>
      <c r="D3" s="6">
        <v>2</v>
      </c>
      <c r="E3" s="6">
        <v>3</v>
      </c>
      <c r="F3" s="6">
        <v>4</v>
      </c>
      <c r="G3" s="6">
        <v>5</v>
      </c>
      <c r="H3" s="6">
        <v>6</v>
      </c>
      <c r="I3" s="6">
        <v>7</v>
      </c>
      <c r="J3" s="6">
        <v>8</v>
      </c>
      <c r="K3" s="6" t="s">
        <v>51</v>
      </c>
      <c r="L3" s="6" t="s">
        <v>52</v>
      </c>
      <c r="M3" s="6">
        <v>10</v>
      </c>
      <c r="N3" s="6">
        <v>11</v>
      </c>
      <c r="O3" s="6" t="s">
        <v>25</v>
      </c>
      <c r="P3" s="6" t="s">
        <v>26</v>
      </c>
      <c r="Q3" s="6" t="s">
        <v>53</v>
      </c>
      <c r="R3" s="6" t="s">
        <v>54</v>
      </c>
      <c r="S3" s="6">
        <v>14</v>
      </c>
      <c r="T3" s="6" t="s">
        <v>55</v>
      </c>
      <c r="U3" s="6" t="s">
        <v>56</v>
      </c>
      <c r="V3" s="6">
        <v>16</v>
      </c>
      <c r="W3" s="6" t="s">
        <v>29</v>
      </c>
      <c r="X3" s="6" t="s">
        <v>30</v>
      </c>
      <c r="Y3" s="6" t="s">
        <v>57</v>
      </c>
      <c r="Z3" s="6">
        <v>18</v>
      </c>
      <c r="AA3" s="6">
        <v>19</v>
      </c>
      <c r="AB3" s="6">
        <v>20</v>
      </c>
      <c r="AC3" s="6" t="s">
        <v>58</v>
      </c>
      <c r="AD3" s="6" t="s">
        <v>59</v>
      </c>
      <c r="AE3" s="6" t="s">
        <v>60</v>
      </c>
      <c r="AF3" s="28" t="s">
        <v>33</v>
      </c>
      <c r="AG3" s="29" t="s">
        <v>34</v>
      </c>
      <c r="AH3" s="30" t="s">
        <v>35</v>
      </c>
      <c r="AI3" s="31" t="s">
        <v>36</v>
      </c>
    </row>
    <row r="4" ht="69" customHeight="1" spans="1:42">
      <c r="A4" s="7"/>
      <c r="B4" s="8" t="s">
        <v>37</v>
      </c>
      <c r="C4" s="9">
        <v>1</v>
      </c>
      <c r="D4" s="21">
        <v>2</v>
      </c>
      <c r="E4" s="9">
        <v>1</v>
      </c>
      <c r="F4" s="21">
        <v>1</v>
      </c>
      <c r="G4" s="9">
        <v>2</v>
      </c>
      <c r="H4" s="9">
        <v>1</v>
      </c>
      <c r="I4" s="11">
        <v>2</v>
      </c>
      <c r="J4" s="9">
        <v>2</v>
      </c>
      <c r="K4" s="21">
        <v>2</v>
      </c>
      <c r="L4" s="11">
        <v>1</v>
      </c>
      <c r="M4" s="21">
        <v>1</v>
      </c>
      <c r="N4" s="11">
        <v>1</v>
      </c>
      <c r="O4" s="22">
        <v>2</v>
      </c>
      <c r="P4" s="22">
        <v>1</v>
      </c>
      <c r="Q4" s="22">
        <v>1</v>
      </c>
      <c r="R4" s="24">
        <v>1</v>
      </c>
      <c r="S4" s="23">
        <v>2</v>
      </c>
      <c r="T4" s="23">
        <v>1</v>
      </c>
      <c r="U4" s="22">
        <v>2</v>
      </c>
      <c r="V4" s="24">
        <v>1</v>
      </c>
      <c r="W4" s="23">
        <v>2</v>
      </c>
      <c r="X4" s="24">
        <v>1</v>
      </c>
      <c r="Y4" s="22">
        <v>1</v>
      </c>
      <c r="Z4" s="23">
        <v>2</v>
      </c>
      <c r="AA4" s="22">
        <v>1</v>
      </c>
      <c r="AB4" s="23">
        <v>2</v>
      </c>
      <c r="AC4" s="24">
        <v>1</v>
      </c>
      <c r="AD4" s="33">
        <v>1</v>
      </c>
      <c r="AE4" s="33">
        <v>1</v>
      </c>
      <c r="AF4" s="34">
        <f t="shared" ref="AF4:AF24" si="0">SUM(C4:AE4)</f>
        <v>40</v>
      </c>
      <c r="AG4" s="11">
        <f>AC4+X4+V4+R4+N4+L4+I4</f>
        <v>8</v>
      </c>
      <c r="AH4" s="21">
        <f>AE4+AD4+AA4+Y4+U4+Q4+P4+O4+M4+K4+F4+D4</f>
        <v>16</v>
      </c>
      <c r="AI4" s="9">
        <f>AB4+Z4+W4+T4+S4+J4+H4+G4+E4+C4</f>
        <v>16</v>
      </c>
      <c r="AL4" s="40" t="s">
        <v>38</v>
      </c>
      <c r="AM4" s="11" t="s">
        <v>39</v>
      </c>
      <c r="AN4" s="9" t="s">
        <v>40</v>
      </c>
      <c r="AO4" s="41" t="s">
        <v>41</v>
      </c>
      <c r="AP4" s="21" t="s">
        <v>42</v>
      </c>
    </row>
    <row r="5" ht="27.75" spans="1:42">
      <c r="A5" s="12">
        <v>1</v>
      </c>
      <c r="B5" s="13" t="s">
        <v>61</v>
      </c>
      <c r="C5" s="14">
        <v>0</v>
      </c>
      <c r="D5" s="14">
        <v>0</v>
      </c>
      <c r="E5" s="14">
        <v>0</v>
      </c>
      <c r="F5" s="14">
        <v>0</v>
      </c>
      <c r="G5" s="14">
        <v>0</v>
      </c>
      <c r="H5" s="14">
        <v>0</v>
      </c>
      <c r="I5" s="14">
        <v>0</v>
      </c>
      <c r="J5" s="14">
        <v>0</v>
      </c>
      <c r="K5" s="14">
        <v>2</v>
      </c>
      <c r="L5" s="14">
        <v>0</v>
      </c>
      <c r="M5" s="14">
        <v>1</v>
      </c>
      <c r="N5" s="14">
        <v>1</v>
      </c>
      <c r="O5" s="14">
        <v>0</v>
      </c>
      <c r="P5" s="14">
        <v>0</v>
      </c>
      <c r="Q5" s="14">
        <v>1</v>
      </c>
      <c r="R5" s="14">
        <v>0</v>
      </c>
      <c r="S5" s="14">
        <v>1</v>
      </c>
      <c r="T5" s="14">
        <v>1</v>
      </c>
      <c r="U5" s="14">
        <v>0</v>
      </c>
      <c r="V5" s="14">
        <v>1</v>
      </c>
      <c r="W5" s="27">
        <v>2</v>
      </c>
      <c r="X5" s="27">
        <v>0</v>
      </c>
      <c r="Y5" s="27">
        <v>0</v>
      </c>
      <c r="Z5" s="27">
        <v>2</v>
      </c>
      <c r="AA5" s="27">
        <v>0</v>
      </c>
      <c r="AB5" s="27">
        <v>1</v>
      </c>
      <c r="AC5" s="27">
        <v>0</v>
      </c>
      <c r="AD5" s="27">
        <v>0</v>
      </c>
      <c r="AE5" s="27">
        <v>0</v>
      </c>
      <c r="AF5" s="34">
        <f t="shared" si="0"/>
        <v>13</v>
      </c>
      <c r="AG5" s="11">
        <f t="shared" ref="AG5:AG24" si="1">AC5+X5+V5+R5+N5+L5+I5</f>
        <v>2</v>
      </c>
      <c r="AH5" s="21">
        <f t="shared" ref="AH5:AH24" si="2">AE5+AD5+AA5+Y5+U5+Q5+P5+O5+M5+K5+F5+E5+D5</f>
        <v>4</v>
      </c>
      <c r="AI5" s="9">
        <f t="shared" ref="AI5:AI24" si="3">AB5+Z5+W5+T5+S5+J5+H5+G5+C5</f>
        <v>7</v>
      </c>
      <c r="AL5" s="42" t="s">
        <v>43</v>
      </c>
      <c r="AM5" s="11" t="s">
        <v>44</v>
      </c>
      <c r="AN5" s="9" t="s">
        <v>45</v>
      </c>
      <c r="AO5" s="41" t="s">
        <v>46</v>
      </c>
      <c r="AP5" s="21" t="s">
        <v>47</v>
      </c>
    </row>
    <row r="6" ht="27.75" spans="1:35">
      <c r="A6" s="12">
        <v>2</v>
      </c>
      <c r="B6" s="13" t="s">
        <v>62</v>
      </c>
      <c r="C6" s="14">
        <v>0</v>
      </c>
      <c r="D6" s="14">
        <v>0</v>
      </c>
      <c r="E6" s="14">
        <v>1</v>
      </c>
      <c r="F6" s="14">
        <v>1</v>
      </c>
      <c r="G6" s="14">
        <v>1</v>
      </c>
      <c r="H6" s="14">
        <v>1</v>
      </c>
      <c r="I6" s="14">
        <v>0</v>
      </c>
      <c r="J6" s="14">
        <v>1</v>
      </c>
      <c r="K6" s="14">
        <v>0</v>
      </c>
      <c r="L6" s="14">
        <v>0</v>
      </c>
      <c r="M6" s="14">
        <v>0</v>
      </c>
      <c r="N6" s="14">
        <v>0</v>
      </c>
      <c r="O6" s="14">
        <v>2</v>
      </c>
      <c r="P6" s="14">
        <v>0</v>
      </c>
      <c r="Q6" s="14">
        <v>0</v>
      </c>
      <c r="R6" s="14">
        <v>0</v>
      </c>
      <c r="S6" s="14">
        <v>0</v>
      </c>
      <c r="T6" s="14">
        <v>0</v>
      </c>
      <c r="U6" s="14">
        <v>0</v>
      </c>
      <c r="V6" s="14">
        <v>1</v>
      </c>
      <c r="W6" s="27">
        <v>2</v>
      </c>
      <c r="X6" s="27">
        <v>0</v>
      </c>
      <c r="Y6" s="27">
        <v>1</v>
      </c>
      <c r="Z6" s="27">
        <v>0</v>
      </c>
      <c r="AA6" s="27">
        <v>1</v>
      </c>
      <c r="AB6" s="27">
        <v>2</v>
      </c>
      <c r="AC6" s="27">
        <v>0</v>
      </c>
      <c r="AD6" s="27">
        <v>0</v>
      </c>
      <c r="AE6" s="27">
        <v>0</v>
      </c>
      <c r="AF6" s="34">
        <f t="shared" si="0"/>
        <v>14</v>
      </c>
      <c r="AG6" s="11">
        <f t="shared" si="1"/>
        <v>1</v>
      </c>
      <c r="AH6" s="21">
        <f t="shared" si="2"/>
        <v>6</v>
      </c>
      <c r="AI6" s="9">
        <f t="shared" si="3"/>
        <v>7</v>
      </c>
    </row>
    <row r="7" ht="27.75" spans="1:35">
      <c r="A7" s="12">
        <v>3</v>
      </c>
      <c r="B7" s="13" t="s">
        <v>63</v>
      </c>
      <c r="C7" s="14">
        <v>1</v>
      </c>
      <c r="D7" s="14">
        <v>0</v>
      </c>
      <c r="E7" s="14">
        <v>1</v>
      </c>
      <c r="F7" s="14">
        <v>0</v>
      </c>
      <c r="G7" s="14">
        <v>2</v>
      </c>
      <c r="H7" s="14">
        <v>0</v>
      </c>
      <c r="I7" s="14">
        <v>1</v>
      </c>
      <c r="J7" s="14">
        <v>1</v>
      </c>
      <c r="K7" s="14">
        <v>0</v>
      </c>
      <c r="L7" s="14">
        <v>1</v>
      </c>
      <c r="M7" s="14">
        <v>0</v>
      </c>
      <c r="N7" s="14">
        <v>0</v>
      </c>
      <c r="O7" s="14">
        <v>1</v>
      </c>
      <c r="P7" s="14">
        <v>0</v>
      </c>
      <c r="Q7" s="14">
        <v>0</v>
      </c>
      <c r="R7" s="14">
        <v>0</v>
      </c>
      <c r="S7" s="14">
        <v>2</v>
      </c>
      <c r="T7" s="14">
        <v>0</v>
      </c>
      <c r="U7" s="14">
        <v>0</v>
      </c>
      <c r="V7" s="14">
        <v>1</v>
      </c>
      <c r="W7" s="27">
        <v>0</v>
      </c>
      <c r="X7" s="27">
        <v>1</v>
      </c>
      <c r="Y7" s="27">
        <v>0</v>
      </c>
      <c r="Z7" s="27">
        <v>0</v>
      </c>
      <c r="AA7" s="27">
        <v>1</v>
      </c>
      <c r="AB7" s="27">
        <v>2</v>
      </c>
      <c r="AC7" s="27">
        <v>0</v>
      </c>
      <c r="AD7" s="27">
        <v>0</v>
      </c>
      <c r="AE7" s="27">
        <v>0</v>
      </c>
      <c r="AF7" s="34">
        <f t="shared" si="0"/>
        <v>15</v>
      </c>
      <c r="AG7" s="11">
        <f t="shared" si="1"/>
        <v>4</v>
      </c>
      <c r="AH7" s="21">
        <f t="shared" si="2"/>
        <v>3</v>
      </c>
      <c r="AI7" s="9">
        <f t="shared" si="3"/>
        <v>8</v>
      </c>
    </row>
    <row r="8" ht="27.75" spans="1:35">
      <c r="A8" s="12">
        <v>4</v>
      </c>
      <c r="B8" s="13" t="s">
        <v>64</v>
      </c>
      <c r="C8" s="14">
        <v>0</v>
      </c>
      <c r="D8" s="14">
        <v>0</v>
      </c>
      <c r="E8" s="14">
        <v>1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0</v>
      </c>
      <c r="L8" s="14">
        <v>0</v>
      </c>
      <c r="M8" s="14">
        <v>0</v>
      </c>
      <c r="N8" s="14">
        <v>0</v>
      </c>
      <c r="O8" s="14">
        <v>2</v>
      </c>
      <c r="P8" s="14">
        <v>0</v>
      </c>
      <c r="Q8" s="14">
        <v>0</v>
      </c>
      <c r="R8" s="14">
        <v>0</v>
      </c>
      <c r="S8" s="14">
        <v>2</v>
      </c>
      <c r="T8" s="14">
        <v>0</v>
      </c>
      <c r="U8" s="14">
        <v>0</v>
      </c>
      <c r="V8" s="14">
        <v>1</v>
      </c>
      <c r="W8" s="27">
        <v>0</v>
      </c>
      <c r="X8" s="27">
        <v>1</v>
      </c>
      <c r="Y8" s="27">
        <v>0</v>
      </c>
      <c r="Z8" s="27">
        <v>2</v>
      </c>
      <c r="AA8" s="27">
        <v>0</v>
      </c>
      <c r="AB8" s="27">
        <v>0</v>
      </c>
      <c r="AC8" s="27">
        <v>1</v>
      </c>
      <c r="AD8" s="27">
        <v>1</v>
      </c>
      <c r="AE8" s="27">
        <v>0</v>
      </c>
      <c r="AF8" s="34">
        <f t="shared" si="0"/>
        <v>16</v>
      </c>
      <c r="AG8" s="11">
        <f t="shared" si="1"/>
        <v>4</v>
      </c>
      <c r="AH8" s="21">
        <f t="shared" si="2"/>
        <v>5</v>
      </c>
      <c r="AI8" s="9">
        <f t="shared" si="3"/>
        <v>7</v>
      </c>
    </row>
    <row r="9" ht="27.75" spans="1:35">
      <c r="A9" s="12">
        <v>5</v>
      </c>
      <c r="B9" s="13" t="s">
        <v>65</v>
      </c>
      <c r="C9" s="14">
        <v>1</v>
      </c>
      <c r="D9" s="14">
        <v>2</v>
      </c>
      <c r="E9" s="14">
        <v>1</v>
      </c>
      <c r="F9" s="14">
        <v>1</v>
      </c>
      <c r="G9" s="14">
        <v>2</v>
      </c>
      <c r="H9" s="14">
        <v>1</v>
      </c>
      <c r="I9" s="14">
        <v>1</v>
      </c>
      <c r="J9" s="14">
        <v>2</v>
      </c>
      <c r="K9" s="14">
        <v>2</v>
      </c>
      <c r="L9" s="14">
        <v>0</v>
      </c>
      <c r="M9" s="14">
        <v>1</v>
      </c>
      <c r="N9" s="14">
        <v>1</v>
      </c>
      <c r="O9" s="14">
        <v>2</v>
      </c>
      <c r="P9" s="14">
        <v>0</v>
      </c>
      <c r="Q9" s="14">
        <v>1</v>
      </c>
      <c r="R9" s="14">
        <v>0</v>
      </c>
      <c r="S9" s="14">
        <v>2</v>
      </c>
      <c r="T9" s="14">
        <v>1</v>
      </c>
      <c r="U9" s="14">
        <v>2</v>
      </c>
      <c r="V9" s="14">
        <v>1</v>
      </c>
      <c r="W9" s="27">
        <v>2</v>
      </c>
      <c r="X9" s="27">
        <v>1</v>
      </c>
      <c r="Y9" s="27">
        <v>0</v>
      </c>
      <c r="Z9" s="27">
        <v>2</v>
      </c>
      <c r="AA9" s="27">
        <v>1</v>
      </c>
      <c r="AB9" s="27">
        <v>2</v>
      </c>
      <c r="AC9" s="27">
        <v>0</v>
      </c>
      <c r="AD9" s="27">
        <v>0</v>
      </c>
      <c r="AE9" s="27">
        <v>0</v>
      </c>
      <c r="AF9" s="34">
        <f t="shared" si="0"/>
        <v>32</v>
      </c>
      <c r="AG9" s="11">
        <f t="shared" si="1"/>
        <v>4</v>
      </c>
      <c r="AH9" s="21">
        <f t="shared" si="2"/>
        <v>13</v>
      </c>
      <c r="AI9" s="9">
        <f t="shared" si="3"/>
        <v>15</v>
      </c>
    </row>
    <row r="10" ht="27.75" spans="1:35">
      <c r="A10" s="12">
        <v>6</v>
      </c>
      <c r="B10" s="13" t="s">
        <v>66</v>
      </c>
      <c r="C10" s="14">
        <v>1</v>
      </c>
      <c r="D10" s="14">
        <v>1</v>
      </c>
      <c r="E10" s="14">
        <v>1</v>
      </c>
      <c r="F10" s="14">
        <v>1</v>
      </c>
      <c r="G10" s="14">
        <v>2</v>
      </c>
      <c r="H10" s="14">
        <v>1</v>
      </c>
      <c r="I10" s="14">
        <v>0</v>
      </c>
      <c r="J10" s="14">
        <v>2</v>
      </c>
      <c r="K10" s="14">
        <v>2</v>
      </c>
      <c r="L10" s="14">
        <v>1</v>
      </c>
      <c r="M10" s="14">
        <v>1</v>
      </c>
      <c r="N10" s="14">
        <v>1</v>
      </c>
      <c r="O10" s="14">
        <v>2</v>
      </c>
      <c r="P10" s="14">
        <v>1</v>
      </c>
      <c r="Q10" s="14">
        <v>1</v>
      </c>
      <c r="R10" s="14">
        <v>1</v>
      </c>
      <c r="S10" s="14">
        <v>0</v>
      </c>
      <c r="T10" s="14">
        <v>1</v>
      </c>
      <c r="U10" s="14">
        <v>2</v>
      </c>
      <c r="V10" s="14">
        <v>1</v>
      </c>
      <c r="W10" s="27">
        <v>2</v>
      </c>
      <c r="X10" s="27">
        <v>1</v>
      </c>
      <c r="Y10" s="27">
        <v>1</v>
      </c>
      <c r="Z10" s="27">
        <v>2</v>
      </c>
      <c r="AA10" s="27">
        <v>1</v>
      </c>
      <c r="AB10" s="27">
        <v>2</v>
      </c>
      <c r="AC10" s="27">
        <v>1</v>
      </c>
      <c r="AD10" s="27">
        <v>1</v>
      </c>
      <c r="AE10" s="27">
        <v>1</v>
      </c>
      <c r="AF10" s="34">
        <f t="shared" si="0"/>
        <v>35</v>
      </c>
      <c r="AG10" s="11">
        <f t="shared" si="1"/>
        <v>6</v>
      </c>
      <c r="AH10" s="21">
        <f t="shared" si="2"/>
        <v>16</v>
      </c>
      <c r="AI10" s="9">
        <f t="shared" si="3"/>
        <v>13</v>
      </c>
    </row>
    <row r="11" ht="27.75" spans="1:35">
      <c r="A11" s="12">
        <v>7</v>
      </c>
      <c r="B11" s="13" t="s">
        <v>67</v>
      </c>
      <c r="C11" s="14">
        <v>1</v>
      </c>
      <c r="D11" s="14">
        <v>2</v>
      </c>
      <c r="E11" s="14">
        <v>1</v>
      </c>
      <c r="F11" s="14">
        <v>1</v>
      </c>
      <c r="G11" s="14">
        <v>2</v>
      </c>
      <c r="H11" s="14">
        <v>1</v>
      </c>
      <c r="I11" s="14">
        <v>1</v>
      </c>
      <c r="J11" s="14">
        <v>2</v>
      </c>
      <c r="K11" s="14">
        <v>2</v>
      </c>
      <c r="L11" s="14">
        <v>1</v>
      </c>
      <c r="M11" s="14">
        <v>1</v>
      </c>
      <c r="N11" s="14">
        <v>1</v>
      </c>
      <c r="O11" s="14">
        <v>2</v>
      </c>
      <c r="P11" s="14">
        <v>1</v>
      </c>
      <c r="Q11" s="14">
        <v>1</v>
      </c>
      <c r="R11" s="14">
        <v>1</v>
      </c>
      <c r="S11" s="14">
        <v>0</v>
      </c>
      <c r="T11" s="14">
        <v>1</v>
      </c>
      <c r="U11" s="14">
        <v>1</v>
      </c>
      <c r="V11" s="14">
        <v>1</v>
      </c>
      <c r="W11" s="27">
        <v>2</v>
      </c>
      <c r="X11" s="27">
        <v>1</v>
      </c>
      <c r="Y11" s="27">
        <v>1</v>
      </c>
      <c r="Z11" s="27">
        <v>0</v>
      </c>
      <c r="AA11" s="27">
        <v>1</v>
      </c>
      <c r="AB11" s="27">
        <v>2</v>
      </c>
      <c r="AC11" s="27">
        <v>1</v>
      </c>
      <c r="AD11" s="27">
        <v>1</v>
      </c>
      <c r="AE11" s="27">
        <v>1</v>
      </c>
      <c r="AF11" s="34">
        <f t="shared" si="0"/>
        <v>34</v>
      </c>
      <c r="AG11" s="11">
        <f t="shared" si="1"/>
        <v>7</v>
      </c>
      <c r="AH11" s="21">
        <f t="shared" si="2"/>
        <v>16</v>
      </c>
      <c r="AI11" s="9">
        <f t="shared" si="3"/>
        <v>11</v>
      </c>
    </row>
    <row r="12" ht="27.75" spans="1:35">
      <c r="A12" s="12">
        <v>8</v>
      </c>
      <c r="B12" s="13" t="s">
        <v>68</v>
      </c>
      <c r="C12" s="14">
        <v>1</v>
      </c>
      <c r="D12" s="14">
        <v>0</v>
      </c>
      <c r="E12" s="14">
        <v>1</v>
      </c>
      <c r="F12" s="14">
        <v>1</v>
      </c>
      <c r="G12" s="14">
        <v>2</v>
      </c>
      <c r="H12" s="14">
        <v>1</v>
      </c>
      <c r="I12" s="14">
        <v>0</v>
      </c>
      <c r="J12" s="14">
        <v>2</v>
      </c>
      <c r="K12" s="14">
        <v>0</v>
      </c>
      <c r="L12" s="14">
        <v>0</v>
      </c>
      <c r="M12" s="14">
        <v>1</v>
      </c>
      <c r="N12" s="14">
        <v>0</v>
      </c>
      <c r="O12" s="14">
        <v>2</v>
      </c>
      <c r="P12" s="14">
        <v>0</v>
      </c>
      <c r="Q12" s="14">
        <v>0</v>
      </c>
      <c r="R12" s="14">
        <v>0</v>
      </c>
      <c r="S12" s="14">
        <v>2</v>
      </c>
      <c r="T12" s="14">
        <v>0</v>
      </c>
      <c r="U12" s="14">
        <v>2</v>
      </c>
      <c r="V12" s="14">
        <v>1</v>
      </c>
      <c r="W12" s="27">
        <v>2</v>
      </c>
      <c r="X12" s="27">
        <v>0</v>
      </c>
      <c r="Y12" s="27">
        <v>1</v>
      </c>
      <c r="Z12" s="27">
        <v>0</v>
      </c>
      <c r="AA12" s="27">
        <v>1</v>
      </c>
      <c r="AB12" s="27">
        <v>0</v>
      </c>
      <c r="AC12" s="27">
        <v>0</v>
      </c>
      <c r="AD12" s="27">
        <v>1</v>
      </c>
      <c r="AE12" s="27">
        <v>0</v>
      </c>
      <c r="AF12" s="34">
        <f t="shared" si="0"/>
        <v>21</v>
      </c>
      <c r="AG12" s="11">
        <f t="shared" si="1"/>
        <v>1</v>
      </c>
      <c r="AH12" s="21">
        <f t="shared" si="2"/>
        <v>10</v>
      </c>
      <c r="AI12" s="9">
        <f t="shared" si="3"/>
        <v>10</v>
      </c>
    </row>
    <row r="13" ht="27.75" spans="1:35">
      <c r="A13" s="12">
        <v>9</v>
      </c>
      <c r="B13" s="13" t="s">
        <v>69</v>
      </c>
      <c r="C13" s="14">
        <v>1</v>
      </c>
      <c r="D13" s="14">
        <v>1</v>
      </c>
      <c r="E13" s="14">
        <v>1</v>
      </c>
      <c r="F13" s="14">
        <v>1</v>
      </c>
      <c r="G13" s="14">
        <v>2</v>
      </c>
      <c r="H13" s="14">
        <v>1</v>
      </c>
      <c r="I13" s="14">
        <v>1</v>
      </c>
      <c r="J13" s="14">
        <v>1</v>
      </c>
      <c r="K13" s="14">
        <v>2</v>
      </c>
      <c r="L13" s="14">
        <v>1</v>
      </c>
      <c r="M13" s="14">
        <v>0</v>
      </c>
      <c r="N13" s="14">
        <v>0</v>
      </c>
      <c r="O13" s="14">
        <v>0</v>
      </c>
      <c r="P13" s="14">
        <v>1</v>
      </c>
      <c r="Q13" s="14">
        <v>1</v>
      </c>
      <c r="R13" s="14">
        <v>1</v>
      </c>
      <c r="S13" s="14">
        <v>2</v>
      </c>
      <c r="T13" s="14">
        <v>0</v>
      </c>
      <c r="U13" s="14">
        <v>0</v>
      </c>
      <c r="V13" s="14">
        <v>1</v>
      </c>
      <c r="W13" s="27">
        <v>0</v>
      </c>
      <c r="X13" s="27">
        <v>1</v>
      </c>
      <c r="Y13" s="27">
        <v>1</v>
      </c>
      <c r="Z13" s="27">
        <v>2</v>
      </c>
      <c r="AA13" s="27">
        <v>1</v>
      </c>
      <c r="AB13" s="27">
        <v>1</v>
      </c>
      <c r="AC13" s="27">
        <v>1</v>
      </c>
      <c r="AD13" s="27">
        <v>1</v>
      </c>
      <c r="AE13" s="27">
        <v>0</v>
      </c>
      <c r="AF13" s="34">
        <f t="shared" si="0"/>
        <v>26</v>
      </c>
      <c r="AG13" s="11">
        <f t="shared" si="1"/>
        <v>6</v>
      </c>
      <c r="AH13" s="21">
        <f t="shared" si="2"/>
        <v>10</v>
      </c>
      <c r="AI13" s="9">
        <f t="shared" si="3"/>
        <v>10</v>
      </c>
    </row>
    <row r="14" ht="27.75" spans="1:35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7"/>
      <c r="X14" s="27"/>
      <c r="Y14" s="27"/>
      <c r="Z14" s="27"/>
      <c r="AA14" s="27"/>
      <c r="AB14" s="27"/>
      <c r="AC14" s="27"/>
      <c r="AD14" s="27"/>
      <c r="AE14" s="27"/>
      <c r="AF14" s="34">
        <f t="shared" si="0"/>
        <v>0</v>
      </c>
      <c r="AG14" s="11">
        <f t="shared" si="1"/>
        <v>0</v>
      </c>
      <c r="AH14" s="21">
        <f t="shared" si="2"/>
        <v>0</v>
      </c>
      <c r="AI14" s="9">
        <f t="shared" si="3"/>
        <v>0</v>
      </c>
    </row>
    <row r="15" ht="27.75" spans="1:35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7"/>
      <c r="X15" s="27"/>
      <c r="Y15" s="27"/>
      <c r="Z15" s="27"/>
      <c r="AA15" s="27"/>
      <c r="AB15" s="27"/>
      <c r="AC15" s="27"/>
      <c r="AD15" s="27"/>
      <c r="AE15" s="27"/>
      <c r="AF15" s="34">
        <f t="shared" si="0"/>
        <v>0</v>
      </c>
      <c r="AG15" s="11">
        <f t="shared" si="1"/>
        <v>0</v>
      </c>
      <c r="AH15" s="21">
        <f t="shared" si="2"/>
        <v>0</v>
      </c>
      <c r="AI15" s="9">
        <f t="shared" si="3"/>
        <v>0</v>
      </c>
    </row>
    <row r="16" ht="27.75" spans="1:35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7"/>
      <c r="X16" s="27"/>
      <c r="Y16" s="27"/>
      <c r="Z16" s="27"/>
      <c r="AA16" s="27"/>
      <c r="AB16" s="27"/>
      <c r="AC16" s="27"/>
      <c r="AD16" s="27"/>
      <c r="AE16" s="27"/>
      <c r="AF16" s="34">
        <f t="shared" si="0"/>
        <v>0</v>
      </c>
      <c r="AG16" s="11">
        <f t="shared" si="1"/>
        <v>0</v>
      </c>
      <c r="AH16" s="21">
        <f t="shared" si="2"/>
        <v>0</v>
      </c>
      <c r="AI16" s="9">
        <f t="shared" si="3"/>
        <v>0</v>
      </c>
    </row>
    <row r="17" ht="27.75" spans="1:35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7"/>
      <c r="X17" s="27"/>
      <c r="Y17" s="27"/>
      <c r="Z17" s="27"/>
      <c r="AA17" s="27"/>
      <c r="AB17" s="27"/>
      <c r="AC17" s="27"/>
      <c r="AD17" s="27"/>
      <c r="AE17" s="27"/>
      <c r="AF17" s="34">
        <f t="shared" si="0"/>
        <v>0</v>
      </c>
      <c r="AG17" s="11">
        <f t="shared" si="1"/>
        <v>0</v>
      </c>
      <c r="AH17" s="21">
        <f t="shared" si="2"/>
        <v>0</v>
      </c>
      <c r="AI17" s="9">
        <f t="shared" si="3"/>
        <v>0</v>
      </c>
    </row>
    <row r="18" ht="27.75" spans="1:35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7"/>
      <c r="X18" s="27"/>
      <c r="Y18" s="27"/>
      <c r="Z18" s="27"/>
      <c r="AA18" s="27"/>
      <c r="AB18" s="27"/>
      <c r="AC18" s="27"/>
      <c r="AD18" s="27"/>
      <c r="AE18" s="27"/>
      <c r="AF18" s="34">
        <f t="shared" si="0"/>
        <v>0</v>
      </c>
      <c r="AG18" s="11">
        <f t="shared" si="1"/>
        <v>0</v>
      </c>
      <c r="AH18" s="21">
        <f t="shared" si="2"/>
        <v>0</v>
      </c>
      <c r="AI18" s="9">
        <f t="shared" si="3"/>
        <v>0</v>
      </c>
    </row>
    <row r="19" ht="27.75" spans="1:35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7"/>
      <c r="X19" s="27"/>
      <c r="Y19" s="27"/>
      <c r="Z19" s="27"/>
      <c r="AA19" s="27"/>
      <c r="AB19" s="27"/>
      <c r="AC19" s="27"/>
      <c r="AD19" s="27"/>
      <c r="AE19" s="27"/>
      <c r="AF19" s="34">
        <f t="shared" si="0"/>
        <v>0</v>
      </c>
      <c r="AG19" s="11">
        <f t="shared" si="1"/>
        <v>0</v>
      </c>
      <c r="AH19" s="21">
        <f t="shared" si="2"/>
        <v>0</v>
      </c>
      <c r="AI19" s="9">
        <f t="shared" si="3"/>
        <v>0</v>
      </c>
    </row>
    <row r="20" ht="27.75" spans="1:35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7"/>
      <c r="X20" s="27"/>
      <c r="Y20" s="27"/>
      <c r="Z20" s="27"/>
      <c r="AA20" s="27"/>
      <c r="AB20" s="27"/>
      <c r="AC20" s="27"/>
      <c r="AD20" s="27"/>
      <c r="AE20" s="27"/>
      <c r="AF20" s="34">
        <f t="shared" si="0"/>
        <v>0</v>
      </c>
      <c r="AG20" s="11">
        <f t="shared" si="1"/>
        <v>0</v>
      </c>
      <c r="AH20" s="21">
        <f t="shared" si="2"/>
        <v>0</v>
      </c>
      <c r="AI20" s="9">
        <f t="shared" si="3"/>
        <v>0</v>
      </c>
    </row>
    <row r="21" ht="27.75" spans="1:35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7"/>
      <c r="X21" s="27"/>
      <c r="Y21" s="27"/>
      <c r="Z21" s="27"/>
      <c r="AA21" s="27"/>
      <c r="AB21" s="27"/>
      <c r="AC21" s="27"/>
      <c r="AD21" s="27"/>
      <c r="AE21" s="27"/>
      <c r="AF21" s="34">
        <f t="shared" si="0"/>
        <v>0</v>
      </c>
      <c r="AG21" s="11">
        <f t="shared" si="1"/>
        <v>0</v>
      </c>
      <c r="AH21" s="21">
        <f t="shared" si="2"/>
        <v>0</v>
      </c>
      <c r="AI21" s="9">
        <f t="shared" si="3"/>
        <v>0</v>
      </c>
    </row>
    <row r="22" ht="27.75" spans="1:35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7"/>
      <c r="X22" s="27"/>
      <c r="Y22" s="27"/>
      <c r="Z22" s="27"/>
      <c r="AA22" s="27"/>
      <c r="AB22" s="27"/>
      <c r="AC22" s="27"/>
      <c r="AD22" s="27"/>
      <c r="AE22" s="27"/>
      <c r="AF22" s="34">
        <f t="shared" si="0"/>
        <v>0</v>
      </c>
      <c r="AG22" s="11">
        <f t="shared" si="1"/>
        <v>0</v>
      </c>
      <c r="AH22" s="21">
        <f t="shared" si="2"/>
        <v>0</v>
      </c>
      <c r="AI22" s="9">
        <f t="shared" si="3"/>
        <v>0</v>
      </c>
    </row>
    <row r="23" ht="27.75" spans="1:35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7"/>
      <c r="X23" s="27"/>
      <c r="Y23" s="27"/>
      <c r="Z23" s="27"/>
      <c r="AA23" s="27"/>
      <c r="AB23" s="27"/>
      <c r="AC23" s="27"/>
      <c r="AD23" s="27"/>
      <c r="AE23" s="27"/>
      <c r="AF23" s="34">
        <f t="shared" si="0"/>
        <v>0</v>
      </c>
      <c r="AG23" s="11">
        <f t="shared" si="1"/>
        <v>0</v>
      </c>
      <c r="AH23" s="21">
        <f t="shared" si="2"/>
        <v>0</v>
      </c>
      <c r="AI23" s="9">
        <f t="shared" si="3"/>
        <v>0</v>
      </c>
    </row>
    <row r="24" ht="27.75" spans="1:35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7"/>
      <c r="X24" s="27"/>
      <c r="Y24" s="27"/>
      <c r="Z24" s="27"/>
      <c r="AA24" s="27"/>
      <c r="AB24" s="27"/>
      <c r="AC24" s="27"/>
      <c r="AD24" s="27"/>
      <c r="AE24" s="27"/>
      <c r="AF24" s="34">
        <f t="shared" si="0"/>
        <v>0</v>
      </c>
      <c r="AG24" s="11">
        <f t="shared" si="1"/>
        <v>0</v>
      </c>
      <c r="AH24" s="21">
        <f t="shared" si="2"/>
        <v>0</v>
      </c>
      <c r="AI24" s="9">
        <f t="shared" si="3"/>
        <v>0</v>
      </c>
    </row>
    <row r="25" ht="28.5" spans="1:35">
      <c r="A25" s="15" t="s">
        <v>48</v>
      </c>
      <c r="B25" s="16"/>
      <c r="C25" s="17">
        <f>AVERAGE(C5:C24)</f>
        <v>0.666666666666667</v>
      </c>
      <c r="D25" s="17">
        <f t="shared" ref="D25:AE25" si="4">AVERAGE(D5:D24)</f>
        <v>0.666666666666667</v>
      </c>
      <c r="E25" s="17">
        <f t="shared" si="4"/>
        <v>0.888888888888889</v>
      </c>
      <c r="F25" s="17">
        <f t="shared" si="4"/>
        <v>0.777777777777778</v>
      </c>
      <c r="G25" s="17">
        <f t="shared" si="4"/>
        <v>1.55555555555556</v>
      </c>
      <c r="H25" s="17">
        <f t="shared" si="4"/>
        <v>0.666666666666667</v>
      </c>
      <c r="I25" s="17">
        <f t="shared" si="4"/>
        <v>0.555555555555556</v>
      </c>
      <c r="J25" s="17">
        <f t="shared" si="4"/>
        <v>1.44444444444444</v>
      </c>
      <c r="K25" s="17">
        <f t="shared" si="4"/>
        <v>1.11111111111111</v>
      </c>
      <c r="L25" s="17">
        <f t="shared" si="4"/>
        <v>0.444444444444444</v>
      </c>
      <c r="M25" s="17">
        <f t="shared" si="4"/>
        <v>0.555555555555556</v>
      </c>
      <c r="N25" s="17">
        <f t="shared" si="4"/>
        <v>0.444444444444444</v>
      </c>
      <c r="O25" s="17">
        <f t="shared" si="4"/>
        <v>1.44444444444444</v>
      </c>
      <c r="P25" s="17">
        <f t="shared" si="4"/>
        <v>0.333333333333333</v>
      </c>
      <c r="Q25" s="17">
        <f t="shared" si="4"/>
        <v>0.555555555555556</v>
      </c>
      <c r="R25" s="17">
        <f t="shared" si="4"/>
        <v>0.333333333333333</v>
      </c>
      <c r="S25" s="17">
        <f t="shared" si="4"/>
        <v>1.22222222222222</v>
      </c>
      <c r="T25" s="17">
        <f t="shared" si="4"/>
        <v>0.444444444444444</v>
      </c>
      <c r="U25" s="17">
        <f t="shared" si="4"/>
        <v>0.777777777777778</v>
      </c>
      <c r="V25" s="17">
        <f t="shared" si="4"/>
        <v>1</v>
      </c>
      <c r="W25" s="17">
        <f t="shared" si="4"/>
        <v>1.33333333333333</v>
      </c>
      <c r="X25" s="17">
        <f t="shared" si="4"/>
        <v>0.666666666666667</v>
      </c>
      <c r="Y25" s="17">
        <f t="shared" si="4"/>
        <v>0.555555555555556</v>
      </c>
      <c r="Z25" s="17">
        <f t="shared" si="4"/>
        <v>1.11111111111111</v>
      </c>
      <c r="AA25" s="17">
        <f t="shared" si="4"/>
        <v>0.777777777777778</v>
      </c>
      <c r="AB25" s="17">
        <f t="shared" si="4"/>
        <v>1.33333333333333</v>
      </c>
      <c r="AC25" s="17">
        <f t="shared" si="4"/>
        <v>0.444444444444444</v>
      </c>
      <c r="AD25" s="17">
        <f t="shared" si="4"/>
        <v>0.555555555555556</v>
      </c>
      <c r="AE25" s="17">
        <f t="shared" si="4"/>
        <v>0.222222222222222</v>
      </c>
      <c r="AF25" s="14"/>
      <c r="AG25" s="39">
        <f>SUM(AG5:AG24)</f>
        <v>35</v>
      </c>
      <c r="AH25" s="39">
        <f>SUM(AH5:AH24)</f>
        <v>83</v>
      </c>
      <c r="AI25" s="39">
        <f>SUM(AI5:AI24)</f>
        <v>88</v>
      </c>
    </row>
    <row r="26" ht="51.75" customHeight="1" spans="1:35">
      <c r="A26" s="15"/>
      <c r="B26" s="16" t="s">
        <v>49</v>
      </c>
      <c r="C26" s="18">
        <f t="shared" ref="C26:AE26" si="5">C25/C4*100</f>
        <v>66.6666666666667</v>
      </c>
      <c r="D26" s="18">
        <f t="shared" si="5"/>
        <v>33.3333333333333</v>
      </c>
      <c r="E26" s="18">
        <f t="shared" si="5"/>
        <v>88.8888888888889</v>
      </c>
      <c r="F26" s="18">
        <f t="shared" si="5"/>
        <v>77.7777777777778</v>
      </c>
      <c r="G26" s="18">
        <f t="shared" si="5"/>
        <v>77.7777777777778</v>
      </c>
      <c r="H26" s="18">
        <f t="shared" si="5"/>
        <v>66.6666666666667</v>
      </c>
      <c r="I26" s="18">
        <f t="shared" si="5"/>
        <v>27.7777777777778</v>
      </c>
      <c r="J26" s="18">
        <f t="shared" si="5"/>
        <v>72.2222222222222</v>
      </c>
      <c r="K26" s="18">
        <f t="shared" si="5"/>
        <v>55.5555555555556</v>
      </c>
      <c r="L26" s="18">
        <f t="shared" si="5"/>
        <v>44.4444444444444</v>
      </c>
      <c r="M26" s="18">
        <f t="shared" si="5"/>
        <v>55.5555555555556</v>
      </c>
      <c r="N26" s="18">
        <f t="shared" si="5"/>
        <v>44.4444444444444</v>
      </c>
      <c r="O26" s="18">
        <f t="shared" si="5"/>
        <v>72.2222222222222</v>
      </c>
      <c r="P26" s="18">
        <f t="shared" si="5"/>
        <v>33.3333333333333</v>
      </c>
      <c r="Q26" s="18">
        <f t="shared" si="5"/>
        <v>55.5555555555556</v>
      </c>
      <c r="R26" s="18">
        <f t="shared" si="5"/>
        <v>33.3333333333333</v>
      </c>
      <c r="S26" s="18">
        <f t="shared" si="5"/>
        <v>61.1111111111111</v>
      </c>
      <c r="T26" s="18">
        <f t="shared" si="5"/>
        <v>44.4444444444444</v>
      </c>
      <c r="U26" s="18">
        <f t="shared" si="5"/>
        <v>38.8888888888889</v>
      </c>
      <c r="V26" s="18">
        <f t="shared" si="5"/>
        <v>100</v>
      </c>
      <c r="W26" s="18">
        <f t="shared" si="5"/>
        <v>66.6666666666667</v>
      </c>
      <c r="X26" s="18">
        <f t="shared" si="5"/>
        <v>66.6666666666667</v>
      </c>
      <c r="Y26" s="18">
        <f t="shared" si="5"/>
        <v>55.5555555555556</v>
      </c>
      <c r="Z26" s="18">
        <f t="shared" si="5"/>
        <v>55.5555555555556</v>
      </c>
      <c r="AA26" s="18">
        <f t="shared" si="5"/>
        <v>77.7777777777778</v>
      </c>
      <c r="AB26" s="18">
        <f t="shared" si="5"/>
        <v>66.6666666666667</v>
      </c>
      <c r="AC26" s="18">
        <f t="shared" si="5"/>
        <v>44.4444444444444</v>
      </c>
      <c r="AD26" s="18">
        <f t="shared" si="5"/>
        <v>55.5555555555556</v>
      </c>
      <c r="AE26" s="18">
        <f t="shared" si="5"/>
        <v>22.2222222222222</v>
      </c>
      <c r="AF26" s="14"/>
      <c r="AG26" s="39"/>
      <c r="AH26" s="39"/>
      <c r="AI26" s="39"/>
    </row>
    <row r="27" ht="29.25" spans="1:31">
      <c r="A27" s="19" t="s">
        <v>50</v>
      </c>
      <c r="B27" s="20"/>
      <c r="C27" s="18" t="str">
        <f>IF(C26&gt;70,"مستوى متميز",IF(C26&gt;60,"مستوى جيد",IF(C26&gt;50,"مستوى ملائم",IF(C26&gt;=40,"مستوى غير ملائم"," يحتاج الى تدخل سريع"))))</f>
        <v>مستوى جيد</v>
      </c>
      <c r="D27" s="18" t="str">
        <f t="shared" ref="D27:AE27" si="6">IF(D26&gt;70,"مستوى متميز",IF(D26&gt;60,"مستوى جيد",IF(D26&gt;50,"مستوى ملائم",IF(D26&gt;=40,"مستوى غير ملائم"," يحتاج الى تدخل سريع"))))</f>
        <v> يحتاج الى تدخل سريع</v>
      </c>
      <c r="E27" s="18" t="str">
        <f t="shared" si="6"/>
        <v>مستوى متميز</v>
      </c>
      <c r="F27" s="18" t="str">
        <f t="shared" si="6"/>
        <v>مستوى متميز</v>
      </c>
      <c r="G27" s="18" t="str">
        <f t="shared" si="6"/>
        <v>مستوى متميز</v>
      </c>
      <c r="H27" s="18" t="str">
        <f t="shared" si="6"/>
        <v>مستوى جيد</v>
      </c>
      <c r="I27" s="18" t="str">
        <f t="shared" si="6"/>
        <v> يحتاج الى تدخل سريع</v>
      </c>
      <c r="J27" s="18" t="str">
        <f t="shared" si="6"/>
        <v>مستوى متميز</v>
      </c>
      <c r="K27" s="18" t="str">
        <f t="shared" si="6"/>
        <v>مستوى ملائم</v>
      </c>
      <c r="L27" s="18" t="str">
        <f t="shared" si="6"/>
        <v>مستوى غير ملائم</v>
      </c>
      <c r="M27" s="18" t="str">
        <f t="shared" si="6"/>
        <v>مستوى ملائم</v>
      </c>
      <c r="N27" s="18" t="str">
        <f t="shared" si="6"/>
        <v>مستوى غير ملائم</v>
      </c>
      <c r="O27" s="18" t="str">
        <f t="shared" si="6"/>
        <v>مستوى متميز</v>
      </c>
      <c r="P27" s="18" t="str">
        <f t="shared" si="6"/>
        <v> يحتاج الى تدخل سريع</v>
      </c>
      <c r="Q27" s="18" t="str">
        <f t="shared" si="6"/>
        <v>مستوى ملائم</v>
      </c>
      <c r="R27" s="18" t="str">
        <f t="shared" si="6"/>
        <v> يحتاج الى تدخل سريع</v>
      </c>
      <c r="S27" s="18" t="str">
        <f t="shared" si="6"/>
        <v>مستوى جيد</v>
      </c>
      <c r="T27" s="18" t="str">
        <f t="shared" si="6"/>
        <v>مستوى غير ملائم</v>
      </c>
      <c r="U27" s="18" t="str">
        <f t="shared" si="6"/>
        <v> يحتاج الى تدخل سريع</v>
      </c>
      <c r="V27" s="18" t="str">
        <f t="shared" si="6"/>
        <v>مستوى متميز</v>
      </c>
      <c r="W27" s="18" t="str">
        <f t="shared" si="6"/>
        <v>مستوى جيد</v>
      </c>
      <c r="X27" s="18" t="str">
        <f t="shared" si="6"/>
        <v>مستوى جيد</v>
      </c>
      <c r="Y27" s="18" t="str">
        <f t="shared" si="6"/>
        <v>مستوى ملائم</v>
      </c>
      <c r="Z27" s="18" t="str">
        <f t="shared" si="6"/>
        <v>مستوى ملائم</v>
      </c>
      <c r="AA27" s="18" t="str">
        <f t="shared" si="6"/>
        <v>مستوى متميز</v>
      </c>
      <c r="AB27" s="18" t="str">
        <f t="shared" si="6"/>
        <v>مستوى جيد</v>
      </c>
      <c r="AC27" s="18" t="str">
        <f t="shared" si="6"/>
        <v>مستوى غير ملائم</v>
      </c>
      <c r="AD27" s="18" t="str">
        <f t="shared" si="6"/>
        <v>مستوى ملائم</v>
      </c>
      <c r="AE27" s="18" t="str">
        <f t="shared" si="6"/>
        <v> يحتاج الى تدخل سريع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M6:AP6">
    <cfRule type="expression" dxfId="0" priority="2">
      <formula>"0&lt;40"</formula>
    </cfRule>
  </conditionalFormatting>
  <conditionalFormatting sqref="C26:AE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E27">
    <cfRule type="cellIs" dxfId="2" priority="7" operator="between">
      <formula>70</formula>
      <formula>100</formula>
    </cfRule>
  </conditionalFormatting>
  <conditionalFormatting sqref="C5:AE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3:AT58"/>
  <sheetViews>
    <sheetView zoomScale="60" zoomScaleNormal="60" workbookViewId="0">
      <pane ySplit="4" topLeftCell="A5" activePane="bottomLeft" state="frozen"/>
      <selection/>
      <selection pane="bottomLeft" activeCell="C9" sqref="C9:AI21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4" width="11.0952380952381" customWidth="1"/>
    <col min="5" max="5" width="14.6" customWidth="1"/>
    <col min="6" max="35" width="10.2952380952381" customWidth="1"/>
    <col min="36" max="36" width="13" customWidth="1"/>
    <col min="37" max="37" width="14.6" customWidth="1"/>
    <col min="38" max="38" width="20.0952380952381" customWidth="1"/>
    <col min="39" max="39" width="16.2952380952381" customWidth="1"/>
    <col min="40" max="40" width="9.09523809523809" customWidth="1"/>
    <col min="41" max="41" width="0.295238095238095" customWidth="1"/>
    <col min="42" max="42" width="16.6952380952381" customWidth="1"/>
    <col min="43" max="43" width="16" customWidth="1"/>
    <col min="44" max="44" width="15.2952380952381" customWidth="1"/>
    <col min="45" max="45" width="15.6" customWidth="1"/>
    <col min="46" max="46" width="16" customWidth="1"/>
  </cols>
  <sheetData>
    <row r="3" ht="50.25" customHeight="1" spans="1:39">
      <c r="A3" s="4" t="s">
        <v>15</v>
      </c>
      <c r="B3" s="5" t="s">
        <v>16</v>
      </c>
      <c r="C3" s="6" t="s">
        <v>70</v>
      </c>
      <c r="D3" s="6" t="s">
        <v>71</v>
      </c>
      <c r="E3" s="6">
        <v>2</v>
      </c>
      <c r="F3" s="6">
        <v>3</v>
      </c>
      <c r="G3" s="6" t="s">
        <v>20</v>
      </c>
      <c r="H3" s="6" t="s">
        <v>21</v>
      </c>
      <c r="I3" s="6">
        <v>5</v>
      </c>
      <c r="J3" s="6">
        <v>6</v>
      </c>
      <c r="K3" s="6">
        <v>7</v>
      </c>
      <c r="L3" s="6" t="s">
        <v>72</v>
      </c>
      <c r="M3" s="6" t="s">
        <v>73</v>
      </c>
      <c r="N3" s="6" t="s">
        <v>74</v>
      </c>
      <c r="O3" s="6">
        <v>9</v>
      </c>
      <c r="P3" s="6" t="s">
        <v>75</v>
      </c>
      <c r="Q3" s="6" t="s">
        <v>76</v>
      </c>
      <c r="R3" s="6" t="s">
        <v>23</v>
      </c>
      <c r="S3" s="6" t="s">
        <v>24</v>
      </c>
      <c r="T3" s="6" t="s">
        <v>77</v>
      </c>
      <c r="U3" s="6">
        <v>12</v>
      </c>
      <c r="V3" s="6">
        <v>13</v>
      </c>
      <c r="W3" s="6">
        <v>14</v>
      </c>
      <c r="X3" s="6">
        <v>15</v>
      </c>
      <c r="Y3" s="6">
        <v>16</v>
      </c>
      <c r="Z3" s="6">
        <v>17</v>
      </c>
      <c r="AA3" s="6">
        <v>18</v>
      </c>
      <c r="AB3" s="6">
        <v>19</v>
      </c>
      <c r="AC3" s="6" t="s">
        <v>78</v>
      </c>
      <c r="AD3" s="6" t="s">
        <v>79</v>
      </c>
      <c r="AE3" s="6">
        <v>21</v>
      </c>
      <c r="AF3" s="6">
        <v>22</v>
      </c>
      <c r="AG3" s="6">
        <v>23</v>
      </c>
      <c r="AH3" s="6" t="s">
        <v>80</v>
      </c>
      <c r="AI3" s="6" t="s">
        <v>81</v>
      </c>
      <c r="AJ3" s="28" t="s">
        <v>33</v>
      </c>
      <c r="AK3" s="29" t="s">
        <v>34</v>
      </c>
      <c r="AL3" s="30" t="s">
        <v>35</v>
      </c>
      <c r="AM3" s="31" t="s">
        <v>36</v>
      </c>
    </row>
    <row r="4" ht="69" customHeight="1" spans="1:46">
      <c r="A4" s="7"/>
      <c r="B4" s="8" t="s">
        <v>37</v>
      </c>
      <c r="C4" s="21">
        <v>1</v>
      </c>
      <c r="D4" s="21">
        <v>2</v>
      </c>
      <c r="E4" s="9">
        <v>2</v>
      </c>
      <c r="F4" s="21">
        <v>1</v>
      </c>
      <c r="G4" s="11">
        <v>1</v>
      </c>
      <c r="H4" s="11">
        <v>1</v>
      </c>
      <c r="I4" s="9">
        <v>1</v>
      </c>
      <c r="J4" s="21">
        <v>1</v>
      </c>
      <c r="K4" s="9">
        <v>1</v>
      </c>
      <c r="L4" s="21">
        <v>1</v>
      </c>
      <c r="M4" s="11">
        <v>1</v>
      </c>
      <c r="N4" s="21">
        <v>1</v>
      </c>
      <c r="O4" s="24">
        <v>1</v>
      </c>
      <c r="P4" s="22">
        <v>1</v>
      </c>
      <c r="Q4" s="23">
        <v>1</v>
      </c>
      <c r="R4" s="22">
        <v>1</v>
      </c>
      <c r="S4" s="23">
        <v>1</v>
      </c>
      <c r="T4" s="22">
        <v>1</v>
      </c>
      <c r="U4" s="23">
        <v>2</v>
      </c>
      <c r="V4" s="23">
        <v>2</v>
      </c>
      <c r="W4" s="24">
        <v>1</v>
      </c>
      <c r="X4" s="22">
        <v>1</v>
      </c>
      <c r="Y4" s="23">
        <v>2</v>
      </c>
      <c r="Z4" s="22">
        <v>1</v>
      </c>
      <c r="AA4" s="22">
        <v>1</v>
      </c>
      <c r="AB4" s="23">
        <v>1</v>
      </c>
      <c r="AC4" s="45">
        <v>1</v>
      </c>
      <c r="AD4" s="33">
        <v>1</v>
      </c>
      <c r="AE4" s="34">
        <v>2</v>
      </c>
      <c r="AF4" s="33">
        <v>2</v>
      </c>
      <c r="AG4" s="45">
        <v>1</v>
      </c>
      <c r="AH4" s="45">
        <v>1</v>
      </c>
      <c r="AI4" s="34">
        <v>1</v>
      </c>
      <c r="AJ4" s="34">
        <f t="shared" ref="AJ4:AJ24" si="0">SUM(C4:AI4)</f>
        <v>40</v>
      </c>
      <c r="AK4" s="11">
        <f>AH4+AG4+AC4+W4+O4+M4+H4+G4</f>
        <v>8</v>
      </c>
      <c r="AL4" s="21">
        <f>AF4+AD4+AA4+Z4+X4+T4+R4+P4+N4+L4+J4+F4+D4+C4</f>
        <v>16</v>
      </c>
      <c r="AM4" s="9">
        <f>AI4+AE4+AB4+Y4+V4+U4+S4+Q4+K4+I4+E4</f>
        <v>16</v>
      </c>
      <c r="AP4" s="40" t="s">
        <v>38</v>
      </c>
      <c r="AQ4" s="11" t="s">
        <v>39</v>
      </c>
      <c r="AR4" s="9" t="s">
        <v>40</v>
      </c>
      <c r="AS4" s="41" t="s">
        <v>41</v>
      </c>
      <c r="AT4" s="21" t="s">
        <v>42</v>
      </c>
    </row>
    <row r="5" ht="27.75" spans="1:46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34">
        <f t="shared" si="0"/>
        <v>0</v>
      </c>
      <c r="AK5" s="11">
        <f t="shared" ref="AK5:AK24" si="1">AH5+AG5+AC5+W5+O5+M5+H5+G5</f>
        <v>0</v>
      </c>
      <c r="AL5" s="21">
        <f t="shared" ref="AL5:AL24" si="2">AF5+AD5+AA5+Z5+X5+T5+R5+P5+N5+L5+J5+F5+D5+C5</f>
        <v>0</v>
      </c>
      <c r="AM5" s="9">
        <f t="shared" ref="AM5:AM24" si="3">AI5+AE5+AB5+Y5+V5+U5+S5+Q5+K5+I5+E5</f>
        <v>0</v>
      </c>
      <c r="AP5" s="42" t="s">
        <v>43</v>
      </c>
      <c r="AQ5" s="11" t="s">
        <v>44</v>
      </c>
      <c r="AR5" s="9" t="s">
        <v>45</v>
      </c>
      <c r="AS5" s="41" t="s">
        <v>46</v>
      </c>
      <c r="AT5" s="21" t="s">
        <v>47</v>
      </c>
    </row>
    <row r="6" ht="27.75" spans="1:46">
      <c r="A6" s="12">
        <v>2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34">
        <f t="shared" si="0"/>
        <v>0</v>
      </c>
      <c r="AK6" s="11">
        <f t="shared" si="1"/>
        <v>0</v>
      </c>
      <c r="AL6" s="21">
        <f t="shared" si="2"/>
        <v>0</v>
      </c>
      <c r="AM6" s="9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ht="27.75" spans="1:39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34">
        <f t="shared" si="0"/>
        <v>0</v>
      </c>
      <c r="AK7" s="11">
        <f t="shared" si="1"/>
        <v>0</v>
      </c>
      <c r="AL7" s="21">
        <f t="shared" si="2"/>
        <v>0</v>
      </c>
      <c r="AM7" s="9">
        <f t="shared" si="3"/>
        <v>0</v>
      </c>
    </row>
    <row r="8" ht="27.75" spans="1:39">
      <c r="A8" s="12">
        <v>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34">
        <f t="shared" si="0"/>
        <v>0</v>
      </c>
      <c r="AK8" s="11">
        <f t="shared" si="1"/>
        <v>0</v>
      </c>
      <c r="AL8" s="21">
        <f t="shared" si="2"/>
        <v>0</v>
      </c>
      <c r="AM8" s="9">
        <f t="shared" si="3"/>
        <v>0</v>
      </c>
    </row>
    <row r="9" ht="27.75" spans="1:39">
      <c r="A9" s="12">
        <v>5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34">
        <f t="shared" si="0"/>
        <v>0</v>
      </c>
      <c r="AK9" s="11">
        <f t="shared" si="1"/>
        <v>0</v>
      </c>
      <c r="AL9" s="21">
        <f t="shared" si="2"/>
        <v>0</v>
      </c>
      <c r="AM9" s="9">
        <f t="shared" si="3"/>
        <v>0</v>
      </c>
    </row>
    <row r="10" ht="27.75" spans="1:39">
      <c r="A10" s="12">
        <v>6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34">
        <f t="shared" si="0"/>
        <v>0</v>
      </c>
      <c r="AK10" s="11">
        <f t="shared" si="1"/>
        <v>0</v>
      </c>
      <c r="AL10" s="21">
        <f t="shared" si="2"/>
        <v>0</v>
      </c>
      <c r="AM10" s="9">
        <f t="shared" si="3"/>
        <v>0</v>
      </c>
    </row>
    <row r="11" ht="27.75" spans="1:39">
      <c r="A11" s="12">
        <v>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34">
        <f t="shared" si="0"/>
        <v>0</v>
      </c>
      <c r="AK11" s="11">
        <f t="shared" si="1"/>
        <v>0</v>
      </c>
      <c r="AL11" s="21">
        <f t="shared" si="2"/>
        <v>0</v>
      </c>
      <c r="AM11" s="9">
        <f t="shared" si="3"/>
        <v>0</v>
      </c>
    </row>
    <row r="12" ht="27.75" spans="1:39">
      <c r="A12" s="12">
        <v>8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34">
        <f t="shared" si="0"/>
        <v>0</v>
      </c>
      <c r="AK12" s="11">
        <f t="shared" si="1"/>
        <v>0</v>
      </c>
      <c r="AL12" s="21">
        <f t="shared" si="2"/>
        <v>0</v>
      </c>
      <c r="AM12" s="9">
        <f t="shared" si="3"/>
        <v>0</v>
      </c>
    </row>
    <row r="13" ht="27.75" spans="1:39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34">
        <f t="shared" si="0"/>
        <v>0</v>
      </c>
      <c r="AK13" s="11">
        <f t="shared" si="1"/>
        <v>0</v>
      </c>
      <c r="AL13" s="21">
        <f t="shared" si="2"/>
        <v>0</v>
      </c>
      <c r="AM13" s="9">
        <f t="shared" si="3"/>
        <v>0</v>
      </c>
    </row>
    <row r="14" ht="27.75" spans="1:39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34">
        <f t="shared" si="0"/>
        <v>0</v>
      </c>
      <c r="AK14" s="11">
        <f t="shared" si="1"/>
        <v>0</v>
      </c>
      <c r="AL14" s="21">
        <f t="shared" si="2"/>
        <v>0</v>
      </c>
      <c r="AM14" s="9">
        <f t="shared" si="3"/>
        <v>0</v>
      </c>
    </row>
    <row r="15" ht="27.75" spans="1:39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34">
        <f t="shared" si="0"/>
        <v>0</v>
      </c>
      <c r="AK15" s="11">
        <f t="shared" si="1"/>
        <v>0</v>
      </c>
      <c r="AL15" s="21">
        <f t="shared" si="2"/>
        <v>0</v>
      </c>
      <c r="AM15" s="9">
        <f t="shared" si="3"/>
        <v>0</v>
      </c>
    </row>
    <row r="16" ht="27.75" spans="1:39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34">
        <f t="shared" si="0"/>
        <v>0</v>
      </c>
      <c r="AK16" s="11">
        <f t="shared" si="1"/>
        <v>0</v>
      </c>
      <c r="AL16" s="21">
        <f t="shared" si="2"/>
        <v>0</v>
      </c>
      <c r="AM16" s="9">
        <f t="shared" si="3"/>
        <v>0</v>
      </c>
    </row>
    <row r="17" ht="27.75" spans="1:39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34">
        <f t="shared" si="0"/>
        <v>0</v>
      </c>
      <c r="AK17" s="11">
        <f t="shared" si="1"/>
        <v>0</v>
      </c>
      <c r="AL17" s="21">
        <f t="shared" si="2"/>
        <v>0</v>
      </c>
      <c r="AM17" s="9">
        <f t="shared" si="3"/>
        <v>0</v>
      </c>
    </row>
    <row r="18" ht="27.75" spans="1:39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34">
        <f t="shared" si="0"/>
        <v>0</v>
      </c>
      <c r="AK18" s="11">
        <f t="shared" si="1"/>
        <v>0</v>
      </c>
      <c r="AL18" s="21">
        <f t="shared" si="2"/>
        <v>0</v>
      </c>
      <c r="AM18" s="9">
        <f t="shared" si="3"/>
        <v>0</v>
      </c>
    </row>
    <row r="19" ht="27.75" spans="1:39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34">
        <f t="shared" si="0"/>
        <v>0</v>
      </c>
      <c r="AK19" s="11">
        <f t="shared" si="1"/>
        <v>0</v>
      </c>
      <c r="AL19" s="21">
        <f t="shared" si="2"/>
        <v>0</v>
      </c>
      <c r="AM19" s="9">
        <f t="shared" si="3"/>
        <v>0</v>
      </c>
    </row>
    <row r="20" ht="27.75" spans="1:39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34">
        <f t="shared" si="0"/>
        <v>0</v>
      </c>
      <c r="AK20" s="11">
        <f t="shared" si="1"/>
        <v>0</v>
      </c>
      <c r="AL20" s="21">
        <f t="shared" si="2"/>
        <v>0</v>
      </c>
      <c r="AM20" s="9">
        <f t="shared" si="3"/>
        <v>0</v>
      </c>
    </row>
    <row r="21" ht="27.75" spans="1:39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34">
        <f t="shared" si="0"/>
        <v>0</v>
      </c>
      <c r="AK21" s="11">
        <f t="shared" si="1"/>
        <v>0</v>
      </c>
      <c r="AL21" s="21">
        <f t="shared" si="2"/>
        <v>0</v>
      </c>
      <c r="AM21" s="9">
        <f t="shared" si="3"/>
        <v>0</v>
      </c>
    </row>
    <row r="22" ht="27.75" spans="1:39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34">
        <f t="shared" si="0"/>
        <v>0</v>
      </c>
      <c r="AK22" s="11">
        <f t="shared" si="1"/>
        <v>0</v>
      </c>
      <c r="AL22" s="21">
        <f t="shared" si="2"/>
        <v>0</v>
      </c>
      <c r="AM22" s="9">
        <f t="shared" si="3"/>
        <v>0</v>
      </c>
    </row>
    <row r="23" ht="27.75" spans="1:39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34">
        <f t="shared" si="0"/>
        <v>0</v>
      </c>
      <c r="AK23" s="11">
        <f t="shared" si="1"/>
        <v>0</v>
      </c>
      <c r="AL23" s="21">
        <f t="shared" si="2"/>
        <v>0</v>
      </c>
      <c r="AM23" s="9">
        <f t="shared" si="3"/>
        <v>0</v>
      </c>
    </row>
    <row r="24" ht="27.75" spans="1:39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34">
        <f t="shared" si="0"/>
        <v>0</v>
      </c>
      <c r="AK24" s="11">
        <f t="shared" si="1"/>
        <v>0</v>
      </c>
      <c r="AL24" s="21">
        <f t="shared" si="2"/>
        <v>0</v>
      </c>
      <c r="AM24" s="9">
        <f t="shared" si="3"/>
        <v>0</v>
      </c>
    </row>
    <row r="25" ht="28.5" spans="1:39">
      <c r="A25" s="15" t="s">
        <v>48</v>
      </c>
      <c r="B25" s="16"/>
      <c r="C25" s="17" t="e">
        <f>AVERAGE(C5:C24)</f>
        <v>#DIV/0!</v>
      </c>
      <c r="D25" s="17" t="e">
        <f t="shared" ref="D25:AJ25" si="4">AVERAGE(D5:D24)</f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 t="e">
        <f t="shared" si="4"/>
        <v>#DIV/0!</v>
      </c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 t="e">
        <f t="shared" si="4"/>
        <v>#DIV/0!</v>
      </c>
      <c r="M25" s="17" t="e">
        <f t="shared" si="4"/>
        <v>#DIV/0!</v>
      </c>
      <c r="N25" s="17" t="e">
        <f t="shared" si="4"/>
        <v>#DIV/0!</v>
      </c>
      <c r="O25" s="17" t="e">
        <f t="shared" si="4"/>
        <v>#DIV/0!</v>
      </c>
      <c r="P25" s="17" t="e">
        <f t="shared" si="4"/>
        <v>#DIV/0!</v>
      </c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 t="e">
        <f t="shared" si="4"/>
        <v>#DIV/0!</v>
      </c>
      <c r="AI25" s="17" t="e">
        <f t="shared" si="4"/>
        <v>#DIV/0!</v>
      </c>
      <c r="AJ25" s="17">
        <f t="shared" si="4"/>
        <v>0</v>
      </c>
      <c r="AK25" s="39">
        <f>SUM(AK5:AK24)</f>
        <v>0</v>
      </c>
      <c r="AL25" s="39">
        <f>SUM(AL5:AL24)</f>
        <v>0</v>
      </c>
      <c r="AM25" s="39">
        <f>SUM(AM5:AM24)</f>
        <v>0</v>
      </c>
    </row>
    <row r="26" ht="51.75" customHeight="1" spans="1:39">
      <c r="A26" s="15"/>
      <c r="B26" s="16" t="s">
        <v>49</v>
      </c>
      <c r="C26" s="18" t="e">
        <f t="shared" ref="C26:AJ26" si="5">C25/C4*100</f>
        <v>#DIV/0!</v>
      </c>
      <c r="D26" s="18" t="e">
        <f t="shared" si="5"/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 t="e">
        <f t="shared" si="5"/>
        <v>#DIV/0!</v>
      </c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 t="e">
        <f t="shared" si="5"/>
        <v>#DIV/0!</v>
      </c>
      <c r="M26" s="18" t="e">
        <f t="shared" si="5"/>
        <v>#DIV/0!</v>
      </c>
      <c r="N26" s="18" t="e">
        <f t="shared" si="5"/>
        <v>#DIV/0!</v>
      </c>
      <c r="O26" s="18" t="e">
        <f t="shared" si="5"/>
        <v>#DIV/0!</v>
      </c>
      <c r="P26" s="18" t="e">
        <f t="shared" si="5"/>
        <v>#DIV/0!</v>
      </c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 t="e">
        <f t="shared" si="5"/>
        <v>#DIV/0!</v>
      </c>
      <c r="AI26" s="18" t="e">
        <f t="shared" si="5"/>
        <v>#DIV/0!</v>
      </c>
      <c r="AJ26" s="18">
        <f t="shared" si="5"/>
        <v>0</v>
      </c>
      <c r="AK26" s="39"/>
      <c r="AL26" s="39"/>
      <c r="AM26" s="39"/>
    </row>
    <row r="27" ht="29.25" spans="1:35">
      <c r="A27" s="19" t="s">
        <v>50</v>
      </c>
      <c r="B27" s="20"/>
      <c r="C27" s="18" t="e">
        <f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ref="D27:AI27" si="6">IF(D26&gt;70,"مستوى متميز",IF(D26&gt;60,"مستوى جيد",IF(D26&gt;50,"مستوى ملائم",IF(D26&gt;=40,"مستوى غير ملائم"," يحتاج الى تدخل سريع"))))</f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e">
        <f t="shared" si="6"/>
        <v>#DIV/0!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 t="e">
        <f t="shared" si="6"/>
        <v>#DIV/0!</v>
      </c>
      <c r="M27" s="18" t="e">
        <f t="shared" si="6"/>
        <v>#DIV/0!</v>
      </c>
      <c r="N27" s="18" t="e">
        <f t="shared" si="6"/>
        <v>#DIV/0!</v>
      </c>
      <c r="O27" s="18" t="e">
        <f t="shared" si="6"/>
        <v>#DIV/0!</v>
      </c>
      <c r="P27" s="18" t="e">
        <f t="shared" si="6"/>
        <v>#DIV/0!</v>
      </c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18" t="e">
        <f t="shared" si="6"/>
        <v>#DIV/0!</v>
      </c>
      <c r="AE27" s="18" t="e">
        <f t="shared" si="6"/>
        <v>#DIV/0!</v>
      </c>
      <c r="AF27" s="18" t="e">
        <f t="shared" si="6"/>
        <v>#DIV/0!</v>
      </c>
      <c r="AG27" s="18" t="e">
        <f t="shared" si="6"/>
        <v>#DIV/0!</v>
      </c>
      <c r="AH27" s="18" t="e">
        <f t="shared" si="6"/>
        <v>#DIV/0!</v>
      </c>
      <c r="AI27" s="18" t="e">
        <f t="shared" si="6"/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Q6:AT6">
    <cfRule type="expression" dxfId="0" priority="2">
      <formula>"0&lt;40"</formula>
    </cfRule>
  </conditionalFormatting>
  <conditionalFormatting sqref="C26:AJ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I27">
    <cfRule type="cellIs" dxfId="2" priority="7" operator="between">
      <formula>70</formula>
      <formula>100</formula>
    </cfRule>
  </conditionalFormatting>
  <conditionalFormatting sqref="C5:AI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AR53"/>
  <sheetViews>
    <sheetView zoomScale="60" zoomScaleNormal="60" workbookViewId="0">
      <pane ySplit="4" topLeftCell="A5" activePane="bottomLeft" state="frozen"/>
      <selection/>
      <selection pane="bottomLeft" activeCell="V13" sqref="V13"/>
    </sheetView>
  </sheetViews>
  <sheetFormatPr defaultColWidth="9" defaultRowHeight="15"/>
  <cols>
    <col min="1" max="1" width="4" style="3" customWidth="1"/>
    <col min="2" max="2" width="28.8952380952381" style="3" customWidth="1"/>
    <col min="3" max="3" width="8.8952380952381" customWidth="1"/>
    <col min="4" max="4" width="8.2952380952381" customWidth="1"/>
    <col min="5" max="5" width="7.6" customWidth="1"/>
    <col min="6" max="6" width="6.5047619047619" customWidth="1"/>
    <col min="7" max="7" width="8.09523809523809" customWidth="1"/>
    <col min="8" max="8" width="7.5047619047619" customWidth="1"/>
    <col min="9" max="10" width="7" customWidth="1"/>
    <col min="11" max="11" width="9.2" customWidth="1"/>
    <col min="12" max="12" width="7.2952380952381" customWidth="1"/>
    <col min="13" max="13" width="9" customWidth="1"/>
    <col min="14" max="14" width="7" customWidth="1"/>
    <col min="15" max="15" width="7.2952380952381" customWidth="1"/>
    <col min="16" max="16" width="6.8" customWidth="1"/>
    <col min="17" max="17" width="7.09523809523809" customWidth="1"/>
    <col min="18" max="18" width="8.4" customWidth="1"/>
    <col min="19" max="19" width="8" customWidth="1"/>
    <col min="20" max="20" width="8.8952380952381" customWidth="1"/>
    <col min="21" max="21" width="8.5047619047619" customWidth="1"/>
    <col min="22" max="22" width="9" customWidth="1"/>
    <col min="23" max="24" width="8.09523809523809" customWidth="1"/>
    <col min="25" max="25" width="10.6" customWidth="1"/>
    <col min="26" max="26" width="7.2952380952381" customWidth="1"/>
    <col min="27" max="27" width="9.8" customWidth="1"/>
    <col min="28" max="28" width="9.5047619047619" customWidth="1"/>
    <col min="29" max="29" width="10.8" customWidth="1"/>
    <col min="30" max="31" width="9.8" customWidth="1"/>
    <col min="32" max="32" width="9.5047619047619" customWidth="1"/>
    <col min="33" max="33" width="12.5047619047619" customWidth="1"/>
    <col min="34" max="34" width="13" customWidth="1"/>
    <col min="35" max="35" width="14.6" customWidth="1"/>
    <col min="36" max="36" width="20.0952380952381" customWidth="1"/>
    <col min="37" max="37" width="16.2952380952381" customWidth="1"/>
    <col min="38" max="38" width="9.09523809523809" customWidth="1"/>
    <col min="39" max="39" width="0.295238095238095" customWidth="1"/>
    <col min="40" max="40" width="16.6952380952381" customWidth="1"/>
    <col min="41" max="41" width="16" customWidth="1"/>
    <col min="42" max="42" width="15.2952380952381" customWidth="1"/>
    <col min="43" max="43" width="15.6" customWidth="1"/>
    <col min="44" max="44" width="16" customWidth="1"/>
  </cols>
  <sheetData>
    <row r="3" ht="50.25" customHeight="1" spans="1:37">
      <c r="A3" s="4" t="s">
        <v>15</v>
      </c>
      <c r="B3" s="5" t="s">
        <v>16</v>
      </c>
      <c r="C3" s="6" t="s">
        <v>70</v>
      </c>
      <c r="D3" s="6" t="s">
        <v>82</v>
      </c>
      <c r="E3" s="6" t="s">
        <v>83</v>
      </c>
      <c r="F3" s="6">
        <v>3</v>
      </c>
      <c r="G3" s="6">
        <v>4</v>
      </c>
      <c r="H3" s="6">
        <v>5</v>
      </c>
      <c r="I3" s="6">
        <v>6</v>
      </c>
      <c r="J3" s="6" t="s">
        <v>84</v>
      </c>
      <c r="K3" s="6" t="s">
        <v>85</v>
      </c>
      <c r="L3" s="6">
        <v>8</v>
      </c>
      <c r="M3" s="6" t="s">
        <v>86</v>
      </c>
      <c r="N3" s="6" t="s">
        <v>52</v>
      </c>
      <c r="O3" s="6">
        <v>10</v>
      </c>
      <c r="P3" s="6">
        <v>11</v>
      </c>
      <c r="Q3" s="6" t="s">
        <v>87</v>
      </c>
      <c r="R3" s="6" t="s">
        <v>26</v>
      </c>
      <c r="S3" s="6">
        <v>13</v>
      </c>
      <c r="T3" s="6" t="s">
        <v>88</v>
      </c>
      <c r="U3" s="6" t="s">
        <v>89</v>
      </c>
      <c r="V3" s="6">
        <v>15</v>
      </c>
      <c r="W3" s="6">
        <v>16</v>
      </c>
      <c r="X3" s="6" t="s">
        <v>90</v>
      </c>
      <c r="Y3" s="6" t="s">
        <v>91</v>
      </c>
      <c r="Z3" s="6">
        <v>18</v>
      </c>
      <c r="AA3" s="6">
        <v>19</v>
      </c>
      <c r="AB3" s="6">
        <v>20</v>
      </c>
      <c r="AC3" s="6">
        <v>21</v>
      </c>
      <c r="AD3" s="6">
        <v>22</v>
      </c>
      <c r="AE3" s="6">
        <v>23</v>
      </c>
      <c r="AF3" s="6" t="s">
        <v>92</v>
      </c>
      <c r="AG3" s="6" t="s">
        <v>81</v>
      </c>
      <c r="AH3" s="28" t="s">
        <v>33</v>
      </c>
      <c r="AI3" s="29" t="s">
        <v>34</v>
      </c>
      <c r="AJ3" s="30" t="s">
        <v>35</v>
      </c>
      <c r="AK3" s="31" t="s">
        <v>36</v>
      </c>
    </row>
    <row r="4" ht="69" customHeight="1" spans="1:44">
      <c r="A4" s="7"/>
      <c r="B4" s="8" t="s">
        <v>37</v>
      </c>
      <c r="C4" s="21">
        <v>1</v>
      </c>
      <c r="D4" s="21">
        <v>1</v>
      </c>
      <c r="E4" s="9">
        <v>1</v>
      </c>
      <c r="F4" s="21">
        <v>1</v>
      </c>
      <c r="G4" s="11">
        <v>1</v>
      </c>
      <c r="H4" s="11">
        <v>2</v>
      </c>
      <c r="I4" s="9">
        <v>2</v>
      </c>
      <c r="J4" s="21">
        <v>1</v>
      </c>
      <c r="K4" s="9">
        <v>1</v>
      </c>
      <c r="L4" s="21">
        <v>1</v>
      </c>
      <c r="M4" s="11">
        <v>2</v>
      </c>
      <c r="N4" s="21">
        <v>1</v>
      </c>
      <c r="O4" s="24">
        <v>2</v>
      </c>
      <c r="P4" s="22">
        <v>1</v>
      </c>
      <c r="Q4" s="23">
        <v>1</v>
      </c>
      <c r="R4" s="22">
        <v>1</v>
      </c>
      <c r="S4" s="23">
        <v>2</v>
      </c>
      <c r="T4" s="22">
        <v>1</v>
      </c>
      <c r="U4" s="23">
        <v>1</v>
      </c>
      <c r="V4" s="23">
        <v>2</v>
      </c>
      <c r="W4" s="24">
        <v>1</v>
      </c>
      <c r="X4" s="22">
        <v>1</v>
      </c>
      <c r="Y4" s="23">
        <v>1</v>
      </c>
      <c r="Z4" s="22">
        <v>2</v>
      </c>
      <c r="AA4" s="22">
        <v>1</v>
      </c>
      <c r="AB4" s="23">
        <v>2</v>
      </c>
      <c r="AC4" s="45">
        <v>1</v>
      </c>
      <c r="AD4" s="33">
        <v>1</v>
      </c>
      <c r="AE4" s="34">
        <v>2</v>
      </c>
      <c r="AF4" s="33">
        <v>1</v>
      </c>
      <c r="AG4" s="45">
        <v>1</v>
      </c>
      <c r="AH4" s="34">
        <f>SUM(C4:AG4)</f>
        <v>40</v>
      </c>
      <c r="AI4" s="11" t="e">
        <f>#REF!+AG4+AC4+W4+O4+M4+H4+G4</f>
        <v>#REF!</v>
      </c>
      <c r="AJ4" s="21">
        <f t="shared" ref="AJ4:AJ19" si="0">AF4+AD4+AA4+Z4+X4+T4+R4+P4+N4+L4+J4+F4+D4+C4</f>
        <v>15</v>
      </c>
      <c r="AK4" s="9" t="e">
        <f>#REF!+AE4+AB4+Y4+V4+U4+S4+Q4+K4+I4+E4</f>
        <v>#REF!</v>
      </c>
      <c r="AN4" s="40" t="s">
        <v>38</v>
      </c>
      <c r="AO4" s="11" t="s">
        <v>39</v>
      </c>
      <c r="AP4" s="9" t="s">
        <v>40</v>
      </c>
      <c r="AQ4" s="41" t="s">
        <v>41</v>
      </c>
      <c r="AR4" s="21" t="s">
        <v>42</v>
      </c>
    </row>
    <row r="5" ht="27.75" spans="1:44">
      <c r="A5" s="12">
        <v>1</v>
      </c>
      <c r="B5" s="50" t="s">
        <v>93</v>
      </c>
      <c r="C5" s="14">
        <v>1</v>
      </c>
      <c r="D5" s="14">
        <v>1</v>
      </c>
      <c r="E5" s="14">
        <v>0</v>
      </c>
      <c r="F5" s="14">
        <v>1</v>
      </c>
      <c r="G5" s="14">
        <v>1</v>
      </c>
      <c r="H5" s="14">
        <v>2</v>
      </c>
      <c r="I5" s="14">
        <v>2</v>
      </c>
      <c r="J5" s="14">
        <v>1</v>
      </c>
      <c r="K5" s="14">
        <v>0</v>
      </c>
      <c r="L5" s="14">
        <v>1</v>
      </c>
      <c r="M5" s="14">
        <v>2</v>
      </c>
      <c r="N5" s="14">
        <v>1</v>
      </c>
      <c r="O5" s="14">
        <v>2</v>
      </c>
      <c r="P5" s="14">
        <v>1</v>
      </c>
      <c r="Q5" s="14">
        <v>0</v>
      </c>
      <c r="R5" s="14">
        <v>1</v>
      </c>
      <c r="S5" s="14">
        <v>0</v>
      </c>
      <c r="T5" s="14">
        <v>1</v>
      </c>
      <c r="U5" s="14">
        <v>1</v>
      </c>
      <c r="V5" s="14">
        <v>0</v>
      </c>
      <c r="W5" s="27">
        <v>1</v>
      </c>
      <c r="X5" s="27">
        <v>0</v>
      </c>
      <c r="Y5" s="27">
        <v>0</v>
      </c>
      <c r="Z5" s="27">
        <v>0</v>
      </c>
      <c r="AA5" s="27">
        <v>1</v>
      </c>
      <c r="AB5" s="27">
        <v>2</v>
      </c>
      <c r="AC5" s="27">
        <v>1</v>
      </c>
      <c r="AD5" s="27">
        <v>0</v>
      </c>
      <c r="AE5" s="27">
        <v>1</v>
      </c>
      <c r="AF5" s="27">
        <v>0</v>
      </c>
      <c r="AG5" s="27">
        <v>0</v>
      </c>
      <c r="AH5" s="34">
        <f>SUM(C5:AG5)</f>
        <v>25</v>
      </c>
      <c r="AI5" s="11" t="e">
        <f>#REF!+AG5+AC5+W5+O5+M5+H5+G5</f>
        <v>#REF!</v>
      </c>
      <c r="AJ5" s="21">
        <f t="shared" si="0"/>
        <v>10</v>
      </c>
      <c r="AK5" s="9" t="e">
        <f>#REF!+AE5+AB5+Y5+V5+U5+S5+Q5+K5+I5+E5</f>
        <v>#REF!</v>
      </c>
      <c r="AN5" s="42" t="s">
        <v>43</v>
      </c>
      <c r="AO5" s="11" t="s">
        <v>44</v>
      </c>
      <c r="AP5" s="9" t="s">
        <v>45</v>
      </c>
      <c r="AQ5" s="41" t="s">
        <v>46</v>
      </c>
      <c r="AR5" s="21" t="s">
        <v>47</v>
      </c>
    </row>
    <row r="6" ht="27.75" spans="1:44">
      <c r="A6" s="12">
        <v>2</v>
      </c>
      <c r="B6" s="50" t="s">
        <v>94</v>
      </c>
      <c r="C6" s="14">
        <v>1</v>
      </c>
      <c r="D6" s="14">
        <v>1</v>
      </c>
      <c r="E6" s="14">
        <v>0</v>
      </c>
      <c r="F6" s="14">
        <v>1</v>
      </c>
      <c r="G6" s="14">
        <v>1</v>
      </c>
      <c r="H6" s="14">
        <v>2</v>
      </c>
      <c r="I6" s="14">
        <v>2</v>
      </c>
      <c r="J6" s="14">
        <v>1</v>
      </c>
      <c r="K6" s="14">
        <v>1</v>
      </c>
      <c r="L6" s="14">
        <v>0</v>
      </c>
      <c r="M6" s="14">
        <v>2</v>
      </c>
      <c r="N6" s="14">
        <v>0</v>
      </c>
      <c r="O6" s="14">
        <v>2</v>
      </c>
      <c r="P6" s="14">
        <v>1</v>
      </c>
      <c r="Q6" s="14">
        <v>0</v>
      </c>
      <c r="R6" s="14">
        <v>1</v>
      </c>
      <c r="S6" s="14">
        <v>2</v>
      </c>
      <c r="T6" s="14">
        <v>0</v>
      </c>
      <c r="U6" s="14">
        <v>1</v>
      </c>
      <c r="V6" s="14">
        <v>1</v>
      </c>
      <c r="W6" s="27">
        <v>0</v>
      </c>
      <c r="X6" s="27">
        <v>1</v>
      </c>
      <c r="Y6" s="27">
        <v>1</v>
      </c>
      <c r="Z6" s="27">
        <v>2</v>
      </c>
      <c r="AA6" s="27">
        <v>1</v>
      </c>
      <c r="AB6" s="27">
        <v>2</v>
      </c>
      <c r="AC6" s="27">
        <v>0</v>
      </c>
      <c r="AD6" s="27">
        <v>0</v>
      </c>
      <c r="AE6" s="27">
        <v>1</v>
      </c>
      <c r="AF6" s="27">
        <v>0</v>
      </c>
      <c r="AG6" s="27">
        <v>1</v>
      </c>
      <c r="AH6" s="34">
        <v>29</v>
      </c>
      <c r="AI6" s="11" t="e">
        <f>#REF!+AG6+AC6+W6+O6+M6+H6+G6</f>
        <v>#REF!</v>
      </c>
      <c r="AJ6" s="21">
        <f t="shared" si="0"/>
        <v>10</v>
      </c>
      <c r="AK6" s="9" t="e">
        <f>#REF!+AE6+AB6+Y6+V6+U6+S6+Q6+K6+I6+E6</f>
        <v>#REF!</v>
      </c>
      <c r="AN6">
        <v>71</v>
      </c>
      <c r="AO6">
        <v>71</v>
      </c>
      <c r="AP6">
        <v>71</v>
      </c>
      <c r="AQ6">
        <v>71</v>
      </c>
      <c r="AR6">
        <v>71</v>
      </c>
    </row>
    <row r="7" ht="27.75" spans="1:37">
      <c r="A7" s="12">
        <v>3</v>
      </c>
      <c r="B7" s="50" t="s">
        <v>95</v>
      </c>
      <c r="C7" s="14">
        <v>1</v>
      </c>
      <c r="D7" s="14">
        <v>1</v>
      </c>
      <c r="E7" s="14">
        <v>1</v>
      </c>
      <c r="F7" s="14">
        <v>1</v>
      </c>
      <c r="G7" s="14">
        <v>1</v>
      </c>
      <c r="H7" s="14">
        <v>2</v>
      </c>
      <c r="I7" s="14">
        <v>2</v>
      </c>
      <c r="J7" s="14">
        <v>1</v>
      </c>
      <c r="K7" s="14">
        <v>1</v>
      </c>
      <c r="L7" s="14">
        <v>1</v>
      </c>
      <c r="M7" s="14">
        <v>2</v>
      </c>
      <c r="N7" s="14">
        <v>1</v>
      </c>
      <c r="O7" s="14">
        <v>2</v>
      </c>
      <c r="P7" s="14">
        <v>1</v>
      </c>
      <c r="Q7" s="14">
        <v>1</v>
      </c>
      <c r="R7" s="14">
        <v>1</v>
      </c>
      <c r="S7" s="14">
        <v>2</v>
      </c>
      <c r="T7" s="14">
        <v>1</v>
      </c>
      <c r="U7" s="14">
        <v>1</v>
      </c>
      <c r="V7" s="14">
        <v>2</v>
      </c>
      <c r="W7" s="27">
        <v>1</v>
      </c>
      <c r="X7" s="27">
        <v>1</v>
      </c>
      <c r="Y7" s="27">
        <v>1</v>
      </c>
      <c r="Z7" s="27">
        <v>2</v>
      </c>
      <c r="AA7" s="27">
        <v>1</v>
      </c>
      <c r="AB7" s="27">
        <v>2</v>
      </c>
      <c r="AC7" s="27">
        <v>1</v>
      </c>
      <c r="AD7" s="27">
        <v>1</v>
      </c>
      <c r="AE7" s="27">
        <v>2</v>
      </c>
      <c r="AF7" s="27">
        <v>1</v>
      </c>
      <c r="AG7" s="27">
        <v>1</v>
      </c>
      <c r="AH7" s="34">
        <f t="shared" ref="AH7:AH19" si="1">SUM(C7:AG7)</f>
        <v>40</v>
      </c>
      <c r="AI7" s="11" t="e">
        <f>#REF!+AG7+AC7+W7+O7+M7+H7+G7</f>
        <v>#REF!</v>
      </c>
      <c r="AJ7" s="21">
        <f t="shared" si="0"/>
        <v>15</v>
      </c>
      <c r="AK7" s="9" t="e">
        <f>#REF!+AE7+AB7+Y7+V7+U7+S7+Q7+K7+I7+E7</f>
        <v>#REF!</v>
      </c>
    </row>
    <row r="8" ht="27.75" spans="1:37">
      <c r="A8" s="12">
        <v>4</v>
      </c>
      <c r="B8" s="50" t="s">
        <v>96</v>
      </c>
      <c r="C8" s="14">
        <v>1</v>
      </c>
      <c r="D8" s="14">
        <v>1</v>
      </c>
      <c r="E8" s="14">
        <v>0</v>
      </c>
      <c r="F8" s="14">
        <v>1</v>
      </c>
      <c r="G8" s="14">
        <v>0</v>
      </c>
      <c r="H8" s="14">
        <v>2</v>
      </c>
      <c r="I8" s="14">
        <v>2</v>
      </c>
      <c r="J8" s="14">
        <v>1</v>
      </c>
      <c r="K8" s="14">
        <v>0</v>
      </c>
      <c r="L8" s="14">
        <v>0</v>
      </c>
      <c r="M8" s="14">
        <v>2</v>
      </c>
      <c r="N8" s="14">
        <v>0</v>
      </c>
      <c r="O8" s="14">
        <v>1</v>
      </c>
      <c r="P8" s="14">
        <v>0</v>
      </c>
      <c r="Q8" s="14">
        <v>1</v>
      </c>
      <c r="R8" s="14">
        <v>0</v>
      </c>
      <c r="S8" s="14">
        <v>2</v>
      </c>
      <c r="T8" s="14">
        <v>1</v>
      </c>
      <c r="U8" s="14">
        <v>1</v>
      </c>
      <c r="V8" s="14">
        <v>2</v>
      </c>
      <c r="W8" s="27">
        <v>1</v>
      </c>
      <c r="X8" s="27">
        <v>0</v>
      </c>
      <c r="Y8" s="27">
        <v>1</v>
      </c>
      <c r="Z8" s="27">
        <v>2</v>
      </c>
      <c r="AA8" s="27">
        <v>0</v>
      </c>
      <c r="AB8" s="27">
        <v>1</v>
      </c>
      <c r="AC8" s="27">
        <v>0</v>
      </c>
      <c r="AD8" s="27">
        <v>0</v>
      </c>
      <c r="AE8" s="27">
        <v>1</v>
      </c>
      <c r="AF8" s="27">
        <v>1</v>
      </c>
      <c r="AG8" s="27">
        <v>0</v>
      </c>
      <c r="AH8" s="34">
        <f t="shared" si="1"/>
        <v>25</v>
      </c>
      <c r="AI8" s="11" t="e">
        <f>#REF!+AG8+AC8+W8+O8+M8+H8+G8</f>
        <v>#REF!</v>
      </c>
      <c r="AJ8" s="21">
        <f t="shared" si="0"/>
        <v>8</v>
      </c>
      <c r="AK8" s="9" t="e">
        <f>#REF!+AE8+AB8+Y8+V8+U8+S8+Q8+K8+I8+E8</f>
        <v>#REF!</v>
      </c>
    </row>
    <row r="9" ht="27.75" spans="1:37">
      <c r="A9" s="12">
        <v>5</v>
      </c>
      <c r="B9" s="50" t="s">
        <v>97</v>
      </c>
      <c r="C9" s="14">
        <v>1</v>
      </c>
      <c r="D9" s="14">
        <v>1</v>
      </c>
      <c r="E9" s="14">
        <v>1</v>
      </c>
      <c r="F9" s="14">
        <v>1</v>
      </c>
      <c r="G9" s="14">
        <v>1</v>
      </c>
      <c r="H9" s="14">
        <v>2</v>
      </c>
      <c r="I9" s="14">
        <v>2</v>
      </c>
      <c r="J9" s="14">
        <v>1</v>
      </c>
      <c r="K9" s="14">
        <v>1</v>
      </c>
      <c r="L9" s="14">
        <v>1</v>
      </c>
      <c r="M9" s="14">
        <v>2</v>
      </c>
      <c r="N9" s="14">
        <v>1</v>
      </c>
      <c r="O9" s="14">
        <v>2</v>
      </c>
      <c r="P9" s="14">
        <v>1</v>
      </c>
      <c r="Q9" s="14">
        <v>1</v>
      </c>
      <c r="R9" s="14">
        <v>1</v>
      </c>
      <c r="S9" s="14">
        <v>2</v>
      </c>
      <c r="T9" s="14">
        <v>1</v>
      </c>
      <c r="U9" s="14">
        <v>1</v>
      </c>
      <c r="V9" s="14">
        <v>2</v>
      </c>
      <c r="W9" s="27">
        <v>1</v>
      </c>
      <c r="X9" s="27">
        <v>1</v>
      </c>
      <c r="Y9" s="27">
        <v>1</v>
      </c>
      <c r="Z9" s="27">
        <v>2</v>
      </c>
      <c r="AA9" s="27">
        <v>1</v>
      </c>
      <c r="AB9" s="27">
        <v>2</v>
      </c>
      <c r="AC9" s="27">
        <v>1</v>
      </c>
      <c r="AD9" s="27">
        <v>1</v>
      </c>
      <c r="AE9" s="27">
        <v>2</v>
      </c>
      <c r="AF9" s="27">
        <v>1</v>
      </c>
      <c r="AG9" s="27">
        <v>1</v>
      </c>
      <c r="AH9" s="34">
        <f t="shared" si="1"/>
        <v>40</v>
      </c>
      <c r="AI9" s="11" t="e">
        <f>#REF!+AG9+AC9+W9+O9+M9+H9+G9</f>
        <v>#REF!</v>
      </c>
      <c r="AJ9" s="21">
        <f t="shared" si="0"/>
        <v>15</v>
      </c>
      <c r="AK9" s="9" t="e">
        <f>#REF!+AE9+AB9+Y9+V9+U9+S9+Q9+K9+I9+E9</f>
        <v>#REF!</v>
      </c>
    </row>
    <row r="10" ht="27.75" spans="1:37">
      <c r="A10" s="12">
        <v>6</v>
      </c>
      <c r="B10" s="50" t="s">
        <v>98</v>
      </c>
      <c r="C10" s="14">
        <v>1</v>
      </c>
      <c r="D10" s="14">
        <v>1</v>
      </c>
      <c r="E10" s="14">
        <v>0</v>
      </c>
      <c r="F10" s="14">
        <v>1</v>
      </c>
      <c r="G10" s="14">
        <v>0</v>
      </c>
      <c r="H10" s="14">
        <v>0</v>
      </c>
      <c r="I10" s="14">
        <v>2</v>
      </c>
      <c r="J10" s="14">
        <v>1</v>
      </c>
      <c r="K10" s="14">
        <v>0</v>
      </c>
      <c r="L10" s="14">
        <v>0</v>
      </c>
      <c r="M10" s="14">
        <v>0</v>
      </c>
      <c r="N10" s="14">
        <v>1</v>
      </c>
      <c r="O10" s="14">
        <v>2</v>
      </c>
      <c r="P10" s="14">
        <v>0</v>
      </c>
      <c r="Q10" s="14">
        <v>0</v>
      </c>
      <c r="R10" s="14">
        <v>1</v>
      </c>
      <c r="S10" s="14">
        <v>0</v>
      </c>
      <c r="T10" s="14">
        <v>0</v>
      </c>
      <c r="U10" s="14">
        <v>0</v>
      </c>
      <c r="V10" s="14">
        <v>2</v>
      </c>
      <c r="W10" s="27">
        <v>1</v>
      </c>
      <c r="X10" s="27">
        <v>0</v>
      </c>
      <c r="Y10" s="27">
        <v>1</v>
      </c>
      <c r="Z10" s="27">
        <v>2</v>
      </c>
      <c r="AA10" s="27">
        <v>1</v>
      </c>
      <c r="AB10" s="27">
        <v>2</v>
      </c>
      <c r="AC10" s="27">
        <v>1</v>
      </c>
      <c r="AD10" s="27">
        <v>1</v>
      </c>
      <c r="AE10" s="27">
        <v>1</v>
      </c>
      <c r="AF10" s="27">
        <v>1</v>
      </c>
      <c r="AG10" s="27">
        <v>1</v>
      </c>
      <c r="AH10" s="34">
        <f t="shared" si="1"/>
        <v>24</v>
      </c>
      <c r="AI10" s="11" t="e">
        <f>#REF!+AG10+AC10+W10+O10+M10+H10+G10</f>
        <v>#REF!</v>
      </c>
      <c r="AJ10" s="21">
        <f t="shared" si="0"/>
        <v>11</v>
      </c>
      <c r="AK10" s="9" t="e">
        <f>#REF!+AE10+AB10+Y10+V10+U10+S10+Q10+K10+I10+E10</f>
        <v>#REF!</v>
      </c>
    </row>
    <row r="11" ht="27.75" spans="1:37">
      <c r="A11" s="12">
        <v>7</v>
      </c>
      <c r="B11" s="50" t="s">
        <v>99</v>
      </c>
      <c r="C11" s="14">
        <v>1</v>
      </c>
      <c r="D11" s="14">
        <v>1</v>
      </c>
      <c r="E11" s="14">
        <v>1</v>
      </c>
      <c r="F11" s="14">
        <v>1</v>
      </c>
      <c r="G11" s="14">
        <v>1</v>
      </c>
      <c r="H11" s="14">
        <v>2</v>
      </c>
      <c r="I11" s="14">
        <v>2</v>
      </c>
      <c r="J11" s="14">
        <v>1</v>
      </c>
      <c r="K11" s="14">
        <v>1</v>
      </c>
      <c r="L11" s="14">
        <v>1</v>
      </c>
      <c r="M11" s="14">
        <v>2</v>
      </c>
      <c r="N11" s="14">
        <v>1</v>
      </c>
      <c r="O11" s="14">
        <v>2</v>
      </c>
      <c r="P11" s="14">
        <v>1</v>
      </c>
      <c r="Q11" s="14">
        <v>1</v>
      </c>
      <c r="R11" s="14">
        <v>1</v>
      </c>
      <c r="S11" s="14">
        <v>2</v>
      </c>
      <c r="T11" s="14">
        <v>1</v>
      </c>
      <c r="U11" s="14">
        <v>1</v>
      </c>
      <c r="V11" s="14">
        <v>2</v>
      </c>
      <c r="W11" s="27">
        <v>1</v>
      </c>
      <c r="X11" s="27">
        <v>1</v>
      </c>
      <c r="Y11" s="27">
        <v>1</v>
      </c>
      <c r="Z11" s="27">
        <v>2</v>
      </c>
      <c r="AA11" s="27">
        <v>1</v>
      </c>
      <c r="AB11" s="27">
        <v>2</v>
      </c>
      <c r="AC11" s="27">
        <v>1</v>
      </c>
      <c r="AD11" s="27">
        <v>1</v>
      </c>
      <c r="AE11" s="27">
        <v>2</v>
      </c>
      <c r="AF11" s="27">
        <v>1</v>
      </c>
      <c r="AG11" s="27">
        <v>1</v>
      </c>
      <c r="AH11" s="34">
        <f t="shared" si="1"/>
        <v>40</v>
      </c>
      <c r="AI11" s="11" t="e">
        <f>#REF!+AG11+AC11+W11+O11+M11+H11+G11</f>
        <v>#REF!</v>
      </c>
      <c r="AJ11" s="21">
        <f t="shared" si="0"/>
        <v>15</v>
      </c>
      <c r="AK11" s="9" t="e">
        <f>#REF!+AE11+AB11+Y11+V11+U11+S11+Q11+K11+I11+E11</f>
        <v>#REF!</v>
      </c>
    </row>
    <row r="12" ht="27.75" spans="1:37">
      <c r="A12" s="12">
        <v>8</v>
      </c>
      <c r="B12" s="50" t="s">
        <v>100</v>
      </c>
      <c r="C12" s="14">
        <v>1</v>
      </c>
      <c r="D12" s="14">
        <v>1</v>
      </c>
      <c r="E12" s="14">
        <v>1</v>
      </c>
      <c r="F12" s="14">
        <v>1</v>
      </c>
      <c r="G12" s="14">
        <v>1</v>
      </c>
      <c r="H12" s="14">
        <v>2</v>
      </c>
      <c r="I12" s="14">
        <v>2</v>
      </c>
      <c r="J12" s="14">
        <v>1</v>
      </c>
      <c r="K12" s="14">
        <v>1</v>
      </c>
      <c r="L12" s="14">
        <v>1</v>
      </c>
      <c r="M12" s="14">
        <v>0</v>
      </c>
      <c r="N12" s="14">
        <v>1</v>
      </c>
      <c r="O12" s="14">
        <v>2</v>
      </c>
      <c r="P12" s="14">
        <v>1</v>
      </c>
      <c r="Q12" s="14">
        <v>1</v>
      </c>
      <c r="R12" s="14">
        <v>1</v>
      </c>
      <c r="S12" s="14">
        <v>0</v>
      </c>
      <c r="T12" s="14">
        <v>1</v>
      </c>
      <c r="U12" s="14">
        <v>1</v>
      </c>
      <c r="V12" s="14">
        <v>2</v>
      </c>
      <c r="W12" s="27">
        <v>1</v>
      </c>
      <c r="X12" s="27">
        <v>0</v>
      </c>
      <c r="Y12" s="27">
        <v>0</v>
      </c>
      <c r="Z12" s="27">
        <v>2</v>
      </c>
      <c r="AA12" s="27">
        <v>0</v>
      </c>
      <c r="AB12" s="27">
        <v>2</v>
      </c>
      <c r="AC12" s="27">
        <v>1</v>
      </c>
      <c r="AD12" s="27">
        <v>1</v>
      </c>
      <c r="AE12" s="27">
        <v>0</v>
      </c>
      <c r="AF12" s="27">
        <v>0</v>
      </c>
      <c r="AG12" s="27">
        <v>1</v>
      </c>
      <c r="AH12" s="34">
        <f t="shared" si="1"/>
        <v>30</v>
      </c>
      <c r="AI12" s="11" t="e">
        <f>#REF!+AG12+AC12+W12+O12+M12+H12+G12</f>
        <v>#REF!</v>
      </c>
      <c r="AJ12" s="21">
        <f t="shared" si="0"/>
        <v>12</v>
      </c>
      <c r="AK12" s="9" t="e">
        <f>#REF!+AE12+AB12+Y12+V12+U12+S12+Q12+K12+I12+E12</f>
        <v>#REF!</v>
      </c>
    </row>
    <row r="13" ht="27.75" spans="1:37">
      <c r="A13" s="12">
        <v>9</v>
      </c>
      <c r="B13" s="51" t="s">
        <v>101</v>
      </c>
      <c r="C13" s="14">
        <v>1</v>
      </c>
      <c r="D13" s="14">
        <v>1</v>
      </c>
      <c r="E13" s="14">
        <v>1</v>
      </c>
      <c r="F13" s="14">
        <v>1</v>
      </c>
      <c r="G13" s="14">
        <v>1</v>
      </c>
      <c r="H13" s="14">
        <v>2</v>
      </c>
      <c r="I13" s="14">
        <v>1</v>
      </c>
      <c r="J13" s="14">
        <v>1</v>
      </c>
      <c r="K13" s="14">
        <v>0</v>
      </c>
      <c r="L13" s="14">
        <v>1</v>
      </c>
      <c r="M13" s="14">
        <v>2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2</v>
      </c>
      <c r="T13" s="14">
        <v>1</v>
      </c>
      <c r="U13" s="14">
        <v>0</v>
      </c>
      <c r="V13" s="14">
        <v>1</v>
      </c>
      <c r="W13" s="27">
        <v>1</v>
      </c>
      <c r="X13" s="27">
        <v>1</v>
      </c>
      <c r="Y13" s="27">
        <v>0</v>
      </c>
      <c r="Z13" s="27">
        <v>2</v>
      </c>
      <c r="AA13" s="27">
        <v>1</v>
      </c>
      <c r="AB13" s="27">
        <v>2</v>
      </c>
      <c r="AC13" s="27">
        <v>1</v>
      </c>
      <c r="AD13" s="27">
        <v>1</v>
      </c>
      <c r="AE13" s="27">
        <v>1</v>
      </c>
      <c r="AF13" s="27">
        <v>0</v>
      </c>
      <c r="AG13" s="27">
        <v>1</v>
      </c>
      <c r="AH13" s="34">
        <f t="shared" si="1"/>
        <v>32</v>
      </c>
      <c r="AI13" s="11" t="e">
        <f>#REF!+AG13+AC13+W13+O13+M13+H13+G13</f>
        <v>#REF!</v>
      </c>
      <c r="AJ13" s="21">
        <f t="shared" si="0"/>
        <v>14</v>
      </c>
      <c r="AK13" s="9" t="e">
        <f>#REF!+AE13+AB13+Y13+V13+U13+S13+Q13+K13+I13+E13</f>
        <v>#REF!</v>
      </c>
    </row>
    <row r="14" ht="27.75" spans="1:37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34">
        <f t="shared" si="1"/>
        <v>0</v>
      </c>
      <c r="AI14" s="11" t="e">
        <f>#REF!+AG14+AC14+W14+O14+M14+H14+G14</f>
        <v>#REF!</v>
      </c>
      <c r="AJ14" s="21">
        <f t="shared" si="0"/>
        <v>0</v>
      </c>
      <c r="AK14" s="9" t="e">
        <f>#REF!+AE14+AB14+Y14+V14+U14+S14+Q14+K14+I14+E14</f>
        <v>#REF!</v>
      </c>
    </row>
    <row r="15" ht="27.75" spans="1:37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34">
        <f t="shared" si="1"/>
        <v>0</v>
      </c>
      <c r="AI15" s="11" t="e">
        <f>#REF!+AG15+AC15+W15+O15+M15+H15+G15</f>
        <v>#REF!</v>
      </c>
      <c r="AJ15" s="21">
        <f t="shared" si="0"/>
        <v>0</v>
      </c>
      <c r="AK15" s="9" t="e">
        <f>#REF!+AE15+AB15+Y15+V15+U15+S15+Q15+K15+I15+E15</f>
        <v>#REF!</v>
      </c>
    </row>
    <row r="16" ht="27.75" spans="1:37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34">
        <f t="shared" si="1"/>
        <v>0</v>
      </c>
      <c r="AI16" s="11" t="e">
        <f>#REF!+AG16+AC16+W16+O16+M16+H16+G16</f>
        <v>#REF!</v>
      </c>
      <c r="AJ16" s="21">
        <f t="shared" si="0"/>
        <v>0</v>
      </c>
      <c r="AK16" s="9" t="e">
        <f>#REF!+AE16+AB16+Y16+V16+U16+S16+Q16+K16+I16+E16</f>
        <v>#REF!</v>
      </c>
    </row>
    <row r="17" ht="27.75" spans="1:37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34">
        <f t="shared" si="1"/>
        <v>0</v>
      </c>
      <c r="AI17" s="11" t="e">
        <f>#REF!+AG17+AC17+W17+O17+M17+H17+G17</f>
        <v>#REF!</v>
      </c>
      <c r="AJ17" s="21">
        <f t="shared" si="0"/>
        <v>0</v>
      </c>
      <c r="AK17" s="9" t="e">
        <f>#REF!+AE17+AB17+Y17+V17+U17+S17+Q17+K17+I17+E17</f>
        <v>#REF!</v>
      </c>
    </row>
    <row r="18" ht="27.75" spans="1:37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34">
        <f t="shared" si="1"/>
        <v>0</v>
      </c>
      <c r="AI18" s="11" t="e">
        <f>#REF!+AG18+AC18+W18+O18+M18+H18+G18</f>
        <v>#REF!</v>
      </c>
      <c r="AJ18" s="21">
        <f t="shared" si="0"/>
        <v>0</v>
      </c>
      <c r="AK18" s="9" t="e">
        <f>#REF!+AE18+AB18+Y18+V18+U18+S18+Q18+K18+I18+E18</f>
        <v>#REF!</v>
      </c>
    </row>
    <row r="19" ht="27.75" spans="1:37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4">
        <f t="shared" si="1"/>
        <v>0</v>
      </c>
      <c r="AI19" s="11" t="e">
        <f>#REF!+AG19+AC19+W19+O19+M19+H19+G19</f>
        <v>#REF!</v>
      </c>
      <c r="AJ19" s="21">
        <f t="shared" si="0"/>
        <v>0</v>
      </c>
      <c r="AK19" s="9" t="e">
        <f>#REF!+AE19+AB19+Y19+V19+U19+S19+Q19+K19+I19+E19</f>
        <v>#REF!</v>
      </c>
    </row>
    <row r="20" ht="28.5" spans="1:37">
      <c r="A20" s="15" t="s">
        <v>48</v>
      </c>
      <c r="B20" s="16"/>
      <c r="C20" s="17">
        <f t="shared" ref="C20:AH20" si="2">AVERAGE(C5:C19)</f>
        <v>1</v>
      </c>
      <c r="D20" s="17">
        <f t="shared" si="2"/>
        <v>1</v>
      </c>
      <c r="E20" s="17">
        <f t="shared" si="2"/>
        <v>0.555555555555556</v>
      </c>
      <c r="F20" s="17">
        <f t="shared" si="2"/>
        <v>1</v>
      </c>
      <c r="G20" s="17">
        <f t="shared" si="2"/>
        <v>0.777777777777778</v>
      </c>
      <c r="H20" s="17">
        <f t="shared" si="2"/>
        <v>1.77777777777778</v>
      </c>
      <c r="I20" s="17">
        <f t="shared" si="2"/>
        <v>1.88888888888889</v>
      </c>
      <c r="J20" s="17">
        <f t="shared" si="2"/>
        <v>1</v>
      </c>
      <c r="K20" s="17">
        <f t="shared" si="2"/>
        <v>0.555555555555556</v>
      </c>
      <c r="L20" s="17">
        <f t="shared" si="2"/>
        <v>0.666666666666667</v>
      </c>
      <c r="M20" s="17">
        <f t="shared" si="2"/>
        <v>1.55555555555556</v>
      </c>
      <c r="N20" s="17">
        <f t="shared" si="2"/>
        <v>0.777777777777778</v>
      </c>
      <c r="O20" s="17">
        <f t="shared" si="2"/>
        <v>1.77777777777778</v>
      </c>
      <c r="P20" s="17">
        <f t="shared" si="2"/>
        <v>0.777777777777778</v>
      </c>
      <c r="Q20" s="17">
        <f t="shared" si="2"/>
        <v>0.666666666666667</v>
      </c>
      <c r="R20" s="17">
        <f t="shared" si="2"/>
        <v>0.888888888888889</v>
      </c>
      <c r="S20" s="17">
        <f t="shared" si="2"/>
        <v>1.33333333333333</v>
      </c>
      <c r="T20" s="17">
        <f t="shared" si="2"/>
        <v>0.777777777777778</v>
      </c>
      <c r="U20" s="17">
        <f t="shared" si="2"/>
        <v>0.777777777777778</v>
      </c>
      <c r="V20" s="17">
        <f t="shared" si="2"/>
        <v>1.55555555555556</v>
      </c>
      <c r="W20" s="17">
        <f t="shared" si="2"/>
        <v>0.888888888888889</v>
      </c>
      <c r="X20" s="17">
        <f t="shared" si="2"/>
        <v>0.555555555555556</v>
      </c>
      <c r="Y20" s="17">
        <f t="shared" si="2"/>
        <v>0.666666666666667</v>
      </c>
      <c r="Z20" s="17">
        <f t="shared" si="2"/>
        <v>1.77777777777778</v>
      </c>
      <c r="AA20" s="17">
        <f t="shared" si="2"/>
        <v>0.777777777777778</v>
      </c>
      <c r="AB20" s="17">
        <f t="shared" si="2"/>
        <v>1.88888888888889</v>
      </c>
      <c r="AC20" s="17">
        <f t="shared" si="2"/>
        <v>0.777777777777778</v>
      </c>
      <c r="AD20" s="17">
        <f t="shared" si="2"/>
        <v>0.666666666666667</v>
      </c>
      <c r="AE20" s="17">
        <f t="shared" si="2"/>
        <v>1.22222222222222</v>
      </c>
      <c r="AF20" s="17">
        <f t="shared" si="2"/>
        <v>0.555555555555556</v>
      </c>
      <c r="AG20" s="17">
        <f t="shared" si="2"/>
        <v>0.777777777777778</v>
      </c>
      <c r="AH20" s="17">
        <f t="shared" si="2"/>
        <v>19</v>
      </c>
      <c r="AI20" s="39" t="e">
        <f>SUM(AI5:AI19)</f>
        <v>#REF!</v>
      </c>
      <c r="AJ20" s="39">
        <f>SUM(AJ5:AJ19)</f>
        <v>110</v>
      </c>
      <c r="AK20" s="39" t="e">
        <f>SUM(AK5:AK19)</f>
        <v>#REF!</v>
      </c>
    </row>
    <row r="21" ht="51.75" customHeight="1" spans="1:37">
      <c r="A21" s="15"/>
      <c r="B21" s="16" t="s">
        <v>49</v>
      </c>
      <c r="C21" s="18">
        <f t="shared" ref="C21:AH21" si="3">C20/C4*100</f>
        <v>100</v>
      </c>
      <c r="D21" s="18">
        <f t="shared" si="3"/>
        <v>100</v>
      </c>
      <c r="E21" s="18">
        <f t="shared" si="3"/>
        <v>55.5555555555556</v>
      </c>
      <c r="F21" s="18">
        <f t="shared" si="3"/>
        <v>100</v>
      </c>
      <c r="G21" s="18">
        <f t="shared" si="3"/>
        <v>77.7777777777778</v>
      </c>
      <c r="H21" s="18">
        <f t="shared" si="3"/>
        <v>88.8888888888889</v>
      </c>
      <c r="I21" s="18">
        <f t="shared" si="3"/>
        <v>94.4444444444444</v>
      </c>
      <c r="J21" s="18">
        <f t="shared" si="3"/>
        <v>100</v>
      </c>
      <c r="K21" s="18">
        <f t="shared" si="3"/>
        <v>55.5555555555556</v>
      </c>
      <c r="L21" s="18">
        <f t="shared" si="3"/>
        <v>66.6666666666667</v>
      </c>
      <c r="M21" s="18">
        <f t="shared" si="3"/>
        <v>77.7777777777778</v>
      </c>
      <c r="N21" s="18">
        <f t="shared" si="3"/>
        <v>77.7777777777778</v>
      </c>
      <c r="O21" s="18">
        <f t="shared" si="3"/>
        <v>88.8888888888889</v>
      </c>
      <c r="P21" s="18">
        <f t="shared" si="3"/>
        <v>77.7777777777778</v>
      </c>
      <c r="Q21" s="18">
        <f t="shared" si="3"/>
        <v>66.6666666666667</v>
      </c>
      <c r="R21" s="18">
        <f t="shared" si="3"/>
        <v>88.8888888888889</v>
      </c>
      <c r="S21" s="18">
        <f t="shared" si="3"/>
        <v>66.6666666666667</v>
      </c>
      <c r="T21" s="18">
        <f t="shared" si="3"/>
        <v>77.7777777777778</v>
      </c>
      <c r="U21" s="18">
        <f t="shared" si="3"/>
        <v>77.7777777777778</v>
      </c>
      <c r="V21" s="18">
        <f t="shared" si="3"/>
        <v>77.7777777777778</v>
      </c>
      <c r="W21" s="18">
        <f t="shared" si="3"/>
        <v>88.8888888888889</v>
      </c>
      <c r="X21" s="18">
        <f t="shared" si="3"/>
        <v>55.5555555555556</v>
      </c>
      <c r="Y21" s="18">
        <f t="shared" si="3"/>
        <v>66.6666666666667</v>
      </c>
      <c r="Z21" s="18">
        <f t="shared" si="3"/>
        <v>88.8888888888889</v>
      </c>
      <c r="AA21" s="18">
        <f t="shared" si="3"/>
        <v>77.7777777777778</v>
      </c>
      <c r="AB21" s="18">
        <f t="shared" si="3"/>
        <v>94.4444444444444</v>
      </c>
      <c r="AC21" s="18">
        <f t="shared" si="3"/>
        <v>77.7777777777778</v>
      </c>
      <c r="AD21" s="18">
        <f t="shared" si="3"/>
        <v>66.6666666666667</v>
      </c>
      <c r="AE21" s="18">
        <f t="shared" si="3"/>
        <v>61.1111111111111</v>
      </c>
      <c r="AF21" s="18">
        <f t="shared" si="3"/>
        <v>55.5555555555556</v>
      </c>
      <c r="AG21" s="18">
        <f t="shared" si="3"/>
        <v>77.7777777777778</v>
      </c>
      <c r="AH21" s="18">
        <f t="shared" si="3"/>
        <v>47.5</v>
      </c>
      <c r="AI21" s="39"/>
      <c r="AJ21" s="39"/>
      <c r="AK21" s="39"/>
    </row>
    <row r="22" ht="29.25" spans="1:34">
      <c r="A22" s="19" t="s">
        <v>50</v>
      </c>
      <c r="B22" s="20"/>
      <c r="C22" s="18" t="str">
        <f>IF(C21&gt;70,"مستوى متميز",IF(C21&gt;60,"مستوى جيد",IF(C21&gt;50,"مستوى ملائم",IF(C21&gt;=40,"مستوى غير ملائم"," يحتاج الى تدخل سريع"))))</f>
        <v>مستوى متميز</v>
      </c>
      <c r="D22" s="18" t="str">
        <f t="shared" ref="D22:AH22" si="4">IF(D21&gt;70,"مستوى متميز",IF(D21&gt;60,"مستوى جيد",IF(D21&gt;50,"مستوى ملائم",IF(D21&gt;=40,"مستوى غير ملائم"," يحتاج الى تدخل سريع"))))</f>
        <v>مستوى متميز</v>
      </c>
      <c r="E22" s="18" t="str">
        <f t="shared" si="4"/>
        <v>مستوى ملائم</v>
      </c>
      <c r="F22" s="18" t="str">
        <f t="shared" si="4"/>
        <v>مستوى متميز</v>
      </c>
      <c r="G22" s="18" t="str">
        <f t="shared" si="4"/>
        <v>مستوى متميز</v>
      </c>
      <c r="H22" s="18" t="str">
        <f t="shared" si="4"/>
        <v>مستوى متميز</v>
      </c>
      <c r="I22" s="18" t="str">
        <f t="shared" si="4"/>
        <v>مستوى متميز</v>
      </c>
      <c r="J22" s="18" t="str">
        <f t="shared" si="4"/>
        <v>مستوى متميز</v>
      </c>
      <c r="K22" s="18" t="str">
        <f t="shared" si="4"/>
        <v>مستوى ملائم</v>
      </c>
      <c r="L22" s="18" t="str">
        <f t="shared" si="4"/>
        <v>مستوى جيد</v>
      </c>
      <c r="M22" s="18" t="str">
        <f t="shared" si="4"/>
        <v>مستوى متميز</v>
      </c>
      <c r="N22" s="18" t="str">
        <f t="shared" si="4"/>
        <v>مستوى متميز</v>
      </c>
      <c r="O22" s="18" t="str">
        <f t="shared" si="4"/>
        <v>مستوى متميز</v>
      </c>
      <c r="P22" s="18" t="str">
        <f t="shared" si="4"/>
        <v>مستوى متميز</v>
      </c>
      <c r="Q22" s="18" t="str">
        <f t="shared" si="4"/>
        <v>مستوى جيد</v>
      </c>
      <c r="R22" s="18" t="str">
        <f t="shared" si="4"/>
        <v>مستوى متميز</v>
      </c>
      <c r="S22" s="18" t="str">
        <f t="shared" si="4"/>
        <v>مستوى جيد</v>
      </c>
      <c r="T22" s="18" t="str">
        <f t="shared" si="4"/>
        <v>مستوى متميز</v>
      </c>
      <c r="U22" s="18" t="str">
        <f t="shared" si="4"/>
        <v>مستوى متميز</v>
      </c>
      <c r="V22" s="18" t="str">
        <f t="shared" si="4"/>
        <v>مستوى متميز</v>
      </c>
      <c r="W22" s="18" t="str">
        <f t="shared" si="4"/>
        <v>مستوى متميز</v>
      </c>
      <c r="X22" s="18" t="str">
        <f t="shared" si="4"/>
        <v>مستوى ملائم</v>
      </c>
      <c r="Y22" s="18" t="str">
        <f t="shared" si="4"/>
        <v>مستوى جيد</v>
      </c>
      <c r="Z22" s="18" t="str">
        <f t="shared" si="4"/>
        <v>مستوى متميز</v>
      </c>
      <c r="AA22" s="18" t="str">
        <f t="shared" si="4"/>
        <v>مستوى متميز</v>
      </c>
      <c r="AB22" s="18" t="str">
        <f t="shared" si="4"/>
        <v>مستوى متميز</v>
      </c>
      <c r="AC22" s="18" t="str">
        <f t="shared" si="4"/>
        <v>مستوى متميز</v>
      </c>
      <c r="AD22" s="18" t="str">
        <f t="shared" si="4"/>
        <v>مستوى جيد</v>
      </c>
      <c r="AE22" s="18" t="str">
        <f t="shared" si="4"/>
        <v>مستوى جيد</v>
      </c>
      <c r="AF22" s="18" t="str">
        <f t="shared" si="4"/>
        <v>مستوى ملائم</v>
      </c>
      <c r="AG22" s="18" t="str">
        <f t="shared" si="4"/>
        <v>مستوى متميز</v>
      </c>
      <c r="AH22" s="18" t="str">
        <f t="shared" si="4"/>
        <v>مستوى غير ملائم</v>
      </c>
    </row>
    <row r="23" ht="15.75"/>
    <row r="53" spans="2:2">
      <c r="B53" s="3" t="e" cm="1">
        <f t="array" ref="B53">Q</f>
        <v>#NAME?</v>
      </c>
    </row>
  </sheetData>
  <mergeCells count="3">
    <mergeCell ref="A20:B20"/>
    <mergeCell ref="A22:B22"/>
    <mergeCell ref="A3:A4"/>
  </mergeCells>
  <conditionalFormatting sqref="AO6:AR6">
    <cfRule type="expression" dxfId="0" priority="2">
      <formula>"0&lt;40"</formula>
    </cfRule>
  </conditionalFormatting>
  <conditionalFormatting sqref="C21:AH21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2:AH22">
    <cfRule type="cellIs" dxfId="2" priority="7" operator="between">
      <formula>70</formula>
      <formula>100</formula>
    </cfRule>
  </conditionalFormatting>
  <conditionalFormatting sqref="C5:AG19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3:AR58"/>
  <sheetViews>
    <sheetView zoomScale="60" zoomScaleNormal="60" workbookViewId="0">
      <pane ySplit="4" topLeftCell="A5" activePane="bottomLeft" state="frozen"/>
      <selection/>
      <selection pane="bottomLeft" activeCell="C5" sqref="C5:AG19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1.0952380952381" customWidth="1"/>
    <col min="4" max="4" width="14.6" customWidth="1"/>
    <col min="5" max="33" width="10.2952380952381" customWidth="1"/>
    <col min="34" max="34" width="13" customWidth="1"/>
    <col min="35" max="35" width="14.6" customWidth="1"/>
    <col min="36" max="36" width="20.0952380952381" customWidth="1"/>
    <col min="37" max="37" width="16.2952380952381" customWidth="1"/>
    <col min="38" max="38" width="9.09523809523809" customWidth="1"/>
    <col min="39" max="39" width="0.295238095238095" customWidth="1"/>
    <col min="40" max="40" width="16.6952380952381" customWidth="1"/>
    <col min="41" max="41" width="16" customWidth="1"/>
    <col min="42" max="42" width="15.2952380952381" customWidth="1"/>
    <col min="43" max="43" width="15.6" customWidth="1"/>
    <col min="44" max="44" width="16" customWidth="1"/>
  </cols>
  <sheetData>
    <row r="3" ht="50.25" customHeight="1" spans="1:37">
      <c r="A3" s="4" t="s">
        <v>15</v>
      </c>
      <c r="B3" s="5" t="s">
        <v>16</v>
      </c>
      <c r="C3" s="6">
        <v>2</v>
      </c>
      <c r="D3" s="6">
        <v>3</v>
      </c>
      <c r="E3" s="6">
        <v>4</v>
      </c>
      <c r="F3" s="6" t="s">
        <v>102</v>
      </c>
      <c r="G3" s="6" t="s">
        <v>103</v>
      </c>
      <c r="H3" s="6">
        <v>6</v>
      </c>
      <c r="I3" s="6">
        <v>7</v>
      </c>
      <c r="J3" s="6">
        <v>8</v>
      </c>
      <c r="K3" s="6">
        <v>9</v>
      </c>
      <c r="L3" s="6">
        <v>10</v>
      </c>
      <c r="M3" s="6" t="s">
        <v>23</v>
      </c>
      <c r="N3" s="6" t="s">
        <v>24</v>
      </c>
      <c r="O3" s="6" t="s">
        <v>77</v>
      </c>
      <c r="P3" s="6">
        <v>12</v>
      </c>
      <c r="Q3" s="6">
        <v>13</v>
      </c>
      <c r="R3" s="6">
        <v>14</v>
      </c>
      <c r="S3" s="6">
        <v>15</v>
      </c>
      <c r="T3" s="6">
        <v>16</v>
      </c>
      <c r="U3" s="6" t="s">
        <v>29</v>
      </c>
      <c r="V3" s="6" t="s">
        <v>30</v>
      </c>
      <c r="W3" s="6">
        <v>18</v>
      </c>
      <c r="X3" s="6">
        <v>19</v>
      </c>
      <c r="Y3" s="6" t="s">
        <v>78</v>
      </c>
      <c r="Z3" s="6" t="s">
        <v>79</v>
      </c>
      <c r="AA3" s="6">
        <v>21</v>
      </c>
      <c r="AB3" s="6">
        <v>22</v>
      </c>
      <c r="AC3" s="6">
        <v>23</v>
      </c>
      <c r="AD3" s="6" t="s">
        <v>80</v>
      </c>
      <c r="AE3" s="6" t="s">
        <v>81</v>
      </c>
      <c r="AF3" s="6" t="s">
        <v>104</v>
      </c>
      <c r="AG3" s="6" t="s">
        <v>105</v>
      </c>
      <c r="AH3" s="6" t="s">
        <v>33</v>
      </c>
      <c r="AI3" s="29" t="s">
        <v>34</v>
      </c>
      <c r="AJ3" s="30" t="s">
        <v>35</v>
      </c>
      <c r="AK3" s="31" t="s">
        <v>36</v>
      </c>
    </row>
    <row r="4" ht="69" customHeight="1" spans="1:44">
      <c r="A4" s="7"/>
      <c r="B4" s="8" t="s">
        <v>37</v>
      </c>
      <c r="C4" s="9">
        <v>2</v>
      </c>
      <c r="D4" s="11">
        <v>1</v>
      </c>
      <c r="E4" s="11">
        <v>1</v>
      </c>
      <c r="F4" s="21">
        <v>2</v>
      </c>
      <c r="G4" s="21">
        <v>1</v>
      </c>
      <c r="H4" s="21">
        <v>1</v>
      </c>
      <c r="I4" s="9">
        <v>1</v>
      </c>
      <c r="J4" s="9">
        <v>1</v>
      </c>
      <c r="K4" s="11">
        <v>1</v>
      </c>
      <c r="L4" s="21">
        <v>1</v>
      </c>
      <c r="M4" s="22">
        <v>1</v>
      </c>
      <c r="N4" s="24">
        <v>2</v>
      </c>
      <c r="O4" s="23">
        <v>2</v>
      </c>
      <c r="P4" s="22">
        <v>1</v>
      </c>
      <c r="Q4" s="23">
        <v>2</v>
      </c>
      <c r="R4" s="23">
        <v>1</v>
      </c>
      <c r="S4" s="22">
        <v>1</v>
      </c>
      <c r="T4" s="23">
        <v>2</v>
      </c>
      <c r="U4" s="24">
        <v>1</v>
      </c>
      <c r="V4" s="22">
        <v>1</v>
      </c>
      <c r="W4" s="22">
        <v>2</v>
      </c>
      <c r="X4" s="23">
        <v>1</v>
      </c>
      <c r="Y4" s="22">
        <v>2</v>
      </c>
      <c r="Z4" s="33">
        <v>1</v>
      </c>
      <c r="AA4" s="45">
        <v>1</v>
      </c>
      <c r="AB4" s="34">
        <v>2</v>
      </c>
      <c r="AC4" s="34">
        <v>1</v>
      </c>
      <c r="AD4" s="34">
        <v>1</v>
      </c>
      <c r="AE4" s="33">
        <v>1</v>
      </c>
      <c r="AF4" s="33">
        <v>1</v>
      </c>
      <c r="AG4" s="45">
        <v>1</v>
      </c>
      <c r="AH4" s="34">
        <f>SUM(C4:AG4)</f>
        <v>40</v>
      </c>
      <c r="AI4" s="11">
        <f>AG4+AA4+U4+N4+K4+E4+D4</f>
        <v>8</v>
      </c>
      <c r="AJ4" s="21">
        <f>AF4+AE4+Z4+Y4+W4+V4+S4+P4+M4+L4+H4+G4+F4</f>
        <v>16</v>
      </c>
      <c r="AK4" s="9">
        <f>AD4+AC4+AB4+X4+T4+R4+Q4+O4+J4+I4+C4</f>
        <v>16</v>
      </c>
      <c r="AN4" s="40" t="s">
        <v>38</v>
      </c>
      <c r="AO4" s="11" t="s">
        <v>39</v>
      </c>
      <c r="AP4" s="9" t="s">
        <v>40</v>
      </c>
      <c r="AQ4" s="41" t="s">
        <v>41</v>
      </c>
      <c r="AR4" s="21" t="s">
        <v>42</v>
      </c>
    </row>
    <row r="5" ht="27.75" spans="1:44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34">
        <f t="shared" ref="AH5:AH24" si="0">SUM(C5:AG5)</f>
        <v>0</v>
      </c>
      <c r="AI5" s="11">
        <f t="shared" ref="AI5:AI24" si="1">AG5+AA5+U5+N5+K5+E5+D5</f>
        <v>0</v>
      </c>
      <c r="AJ5" s="21">
        <f t="shared" ref="AJ5:AJ24" si="2">AF5+AE5+Z5+Y5+W5+V5+S5+P5+M5+L5+H5+G5+F5</f>
        <v>0</v>
      </c>
      <c r="AK5" s="9">
        <f t="shared" ref="AK5:AK24" si="3">AD5+AC5+AB5+X5+T5+R5+Q5+O5+J5+I5+C5</f>
        <v>0</v>
      </c>
      <c r="AN5" s="42" t="s">
        <v>43</v>
      </c>
      <c r="AO5" s="11" t="s">
        <v>44</v>
      </c>
      <c r="AP5" s="9" t="s">
        <v>45</v>
      </c>
      <c r="AQ5" s="41" t="s">
        <v>46</v>
      </c>
      <c r="AR5" s="21" t="s">
        <v>47</v>
      </c>
    </row>
    <row r="6" ht="27.75" spans="1:44">
      <c r="A6" s="12">
        <v>2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34">
        <f t="shared" si="0"/>
        <v>0</v>
      </c>
      <c r="AI6" s="11">
        <f t="shared" si="1"/>
        <v>0</v>
      </c>
      <c r="AJ6" s="21">
        <f t="shared" si="2"/>
        <v>0</v>
      </c>
      <c r="AK6" s="9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ht="27.75" spans="1:37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34">
        <f t="shared" si="0"/>
        <v>0</v>
      </c>
      <c r="AI7" s="11">
        <f t="shared" si="1"/>
        <v>0</v>
      </c>
      <c r="AJ7" s="21">
        <f t="shared" si="2"/>
        <v>0</v>
      </c>
      <c r="AK7" s="9">
        <f t="shared" si="3"/>
        <v>0</v>
      </c>
    </row>
    <row r="8" ht="27.75" spans="1:37">
      <c r="A8" s="12">
        <v>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34">
        <f t="shared" si="0"/>
        <v>0</v>
      </c>
      <c r="AI8" s="11">
        <f t="shared" si="1"/>
        <v>0</v>
      </c>
      <c r="AJ8" s="21">
        <f t="shared" si="2"/>
        <v>0</v>
      </c>
      <c r="AK8" s="9">
        <f t="shared" si="3"/>
        <v>0</v>
      </c>
    </row>
    <row r="9" ht="27.75" spans="1:37">
      <c r="A9" s="12">
        <v>5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34">
        <f t="shared" si="0"/>
        <v>0</v>
      </c>
      <c r="AI9" s="11">
        <f t="shared" si="1"/>
        <v>0</v>
      </c>
      <c r="AJ9" s="21">
        <f t="shared" si="2"/>
        <v>0</v>
      </c>
      <c r="AK9" s="9">
        <f t="shared" si="3"/>
        <v>0</v>
      </c>
    </row>
    <row r="10" ht="27.75" spans="1:37">
      <c r="A10" s="12">
        <v>6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27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34">
        <f t="shared" si="0"/>
        <v>0</v>
      </c>
      <c r="AI10" s="11">
        <f t="shared" si="1"/>
        <v>0</v>
      </c>
      <c r="AJ10" s="21">
        <f t="shared" si="2"/>
        <v>0</v>
      </c>
      <c r="AK10" s="9">
        <f t="shared" si="3"/>
        <v>0</v>
      </c>
    </row>
    <row r="11" ht="27.75" spans="1:37">
      <c r="A11" s="12">
        <v>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34">
        <f t="shared" si="0"/>
        <v>0</v>
      </c>
      <c r="AI11" s="11">
        <f t="shared" si="1"/>
        <v>0</v>
      </c>
      <c r="AJ11" s="21">
        <f t="shared" si="2"/>
        <v>0</v>
      </c>
      <c r="AK11" s="9">
        <f t="shared" si="3"/>
        <v>0</v>
      </c>
    </row>
    <row r="12" ht="27.75" spans="1:37">
      <c r="A12" s="12">
        <v>8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27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34">
        <f t="shared" si="0"/>
        <v>0</v>
      </c>
      <c r="AI12" s="11">
        <f t="shared" si="1"/>
        <v>0</v>
      </c>
      <c r="AJ12" s="21">
        <f t="shared" si="2"/>
        <v>0</v>
      </c>
      <c r="AK12" s="9">
        <f t="shared" si="3"/>
        <v>0</v>
      </c>
    </row>
    <row r="13" ht="27.75" spans="1:37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27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34">
        <f t="shared" si="0"/>
        <v>0</v>
      </c>
      <c r="AI13" s="11">
        <f t="shared" si="1"/>
        <v>0</v>
      </c>
      <c r="AJ13" s="21">
        <f t="shared" si="2"/>
        <v>0</v>
      </c>
      <c r="AK13" s="9">
        <f t="shared" si="3"/>
        <v>0</v>
      </c>
    </row>
    <row r="14" ht="27.75" spans="1:37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27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34">
        <f t="shared" si="0"/>
        <v>0</v>
      </c>
      <c r="AI14" s="11">
        <f t="shared" si="1"/>
        <v>0</v>
      </c>
      <c r="AJ14" s="21">
        <f t="shared" si="2"/>
        <v>0</v>
      </c>
      <c r="AK14" s="9">
        <f t="shared" si="3"/>
        <v>0</v>
      </c>
    </row>
    <row r="15" ht="27.75" spans="1:37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27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34">
        <f t="shared" si="0"/>
        <v>0</v>
      </c>
      <c r="AI15" s="11">
        <f t="shared" si="1"/>
        <v>0</v>
      </c>
      <c r="AJ15" s="21">
        <f t="shared" si="2"/>
        <v>0</v>
      </c>
      <c r="AK15" s="9">
        <f t="shared" si="3"/>
        <v>0</v>
      </c>
    </row>
    <row r="16" ht="27.75" spans="1:37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34">
        <f t="shared" si="0"/>
        <v>0</v>
      </c>
      <c r="AI16" s="11">
        <f t="shared" si="1"/>
        <v>0</v>
      </c>
      <c r="AJ16" s="21">
        <f t="shared" si="2"/>
        <v>0</v>
      </c>
      <c r="AK16" s="9">
        <f t="shared" si="3"/>
        <v>0</v>
      </c>
    </row>
    <row r="17" ht="27.75" spans="1:37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34">
        <f t="shared" si="0"/>
        <v>0</v>
      </c>
      <c r="AI17" s="11">
        <f t="shared" si="1"/>
        <v>0</v>
      </c>
      <c r="AJ17" s="21">
        <f t="shared" si="2"/>
        <v>0</v>
      </c>
      <c r="AK17" s="9">
        <f t="shared" si="3"/>
        <v>0</v>
      </c>
    </row>
    <row r="18" ht="27.75" spans="1:37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34">
        <f t="shared" si="0"/>
        <v>0</v>
      </c>
      <c r="AI18" s="11">
        <f t="shared" si="1"/>
        <v>0</v>
      </c>
      <c r="AJ18" s="21">
        <f t="shared" si="2"/>
        <v>0</v>
      </c>
      <c r="AK18" s="9">
        <f t="shared" si="3"/>
        <v>0</v>
      </c>
    </row>
    <row r="19" ht="27.75" spans="1:37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4">
        <f t="shared" si="0"/>
        <v>0</v>
      </c>
      <c r="AI19" s="11">
        <f t="shared" si="1"/>
        <v>0</v>
      </c>
      <c r="AJ19" s="21">
        <f t="shared" si="2"/>
        <v>0</v>
      </c>
      <c r="AK19" s="9">
        <f t="shared" si="3"/>
        <v>0</v>
      </c>
    </row>
    <row r="20" ht="27.75" spans="1:37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34">
        <f t="shared" si="0"/>
        <v>0</v>
      </c>
      <c r="AI20" s="11">
        <f t="shared" si="1"/>
        <v>0</v>
      </c>
      <c r="AJ20" s="21">
        <f t="shared" si="2"/>
        <v>0</v>
      </c>
      <c r="AK20" s="9">
        <f t="shared" si="3"/>
        <v>0</v>
      </c>
    </row>
    <row r="21" ht="27.75" spans="1:37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34">
        <f t="shared" si="0"/>
        <v>0</v>
      </c>
      <c r="AI21" s="11">
        <f t="shared" si="1"/>
        <v>0</v>
      </c>
      <c r="AJ21" s="21">
        <f t="shared" si="2"/>
        <v>0</v>
      </c>
      <c r="AK21" s="9">
        <f t="shared" si="3"/>
        <v>0</v>
      </c>
    </row>
    <row r="22" ht="27.75" spans="1:37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34">
        <f t="shared" si="0"/>
        <v>0</v>
      </c>
      <c r="AI22" s="11">
        <f t="shared" si="1"/>
        <v>0</v>
      </c>
      <c r="AJ22" s="21">
        <f t="shared" si="2"/>
        <v>0</v>
      </c>
      <c r="AK22" s="9">
        <f t="shared" si="3"/>
        <v>0</v>
      </c>
    </row>
    <row r="23" ht="27.75" spans="1:37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34">
        <f t="shared" si="0"/>
        <v>0</v>
      </c>
      <c r="AI23" s="11">
        <f t="shared" si="1"/>
        <v>0</v>
      </c>
      <c r="AJ23" s="21">
        <f t="shared" si="2"/>
        <v>0</v>
      </c>
      <c r="AK23" s="9">
        <f t="shared" si="3"/>
        <v>0</v>
      </c>
    </row>
    <row r="24" ht="27.75" spans="1:37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4">
        <f t="shared" si="0"/>
        <v>0</v>
      </c>
      <c r="AI24" s="11">
        <f t="shared" si="1"/>
        <v>0</v>
      </c>
      <c r="AJ24" s="21">
        <f t="shared" si="2"/>
        <v>0</v>
      </c>
      <c r="AK24" s="9">
        <f t="shared" si="3"/>
        <v>0</v>
      </c>
    </row>
    <row r="25" ht="28.5" spans="1:37">
      <c r="A25" s="15" t="s">
        <v>48</v>
      </c>
      <c r="B25" s="16"/>
      <c r="C25" s="17" t="e">
        <f t="shared" ref="C25:AH25" si="4">AVERAGE(C5:C24)</f>
        <v>#DIV/0!</v>
      </c>
      <c r="D25" s="17" t="e">
        <f t="shared" si="4"/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 t="e">
        <f t="shared" si="4"/>
        <v>#DIV/0!</v>
      </c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 t="e">
        <f t="shared" si="4"/>
        <v>#DIV/0!</v>
      </c>
      <c r="M25" s="17" t="e">
        <f t="shared" si="4"/>
        <v>#DIV/0!</v>
      </c>
      <c r="N25" s="17" t="e">
        <f t="shared" si="4"/>
        <v>#DIV/0!</v>
      </c>
      <c r="O25" s="17"/>
      <c r="P25" s="17" t="e">
        <f t="shared" si="4"/>
        <v>#DIV/0!</v>
      </c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>
        <f t="shared" si="4"/>
        <v>0</v>
      </c>
      <c r="AI25" s="39">
        <f>SUM(AI5:AI24)</f>
        <v>0</v>
      </c>
      <c r="AJ25" s="39">
        <f>SUM(AJ5:AJ24)</f>
        <v>0</v>
      </c>
      <c r="AK25" s="39">
        <f>SUM(AK5:AK24)</f>
        <v>0</v>
      </c>
    </row>
    <row r="26" ht="51.75" customHeight="1" spans="1:37">
      <c r="A26" s="15"/>
      <c r="B26" s="16" t="s">
        <v>49</v>
      </c>
      <c r="C26" s="18" t="e">
        <f t="shared" ref="C26:AH26" si="5">C25/C4*100</f>
        <v>#DIV/0!</v>
      </c>
      <c r="D26" s="18" t="e">
        <f t="shared" si="5"/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 t="e">
        <f t="shared" si="5"/>
        <v>#DIV/0!</v>
      </c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 t="e">
        <f t="shared" si="5"/>
        <v>#DIV/0!</v>
      </c>
      <c r="M26" s="18" t="e">
        <f t="shared" si="5"/>
        <v>#DIV/0!</v>
      </c>
      <c r="N26" s="18" t="e">
        <f t="shared" si="5"/>
        <v>#DIV/0!</v>
      </c>
      <c r="O26" s="18"/>
      <c r="P26" s="18" t="e">
        <f t="shared" si="5"/>
        <v>#DIV/0!</v>
      </c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>
        <f t="shared" si="5"/>
        <v>0</v>
      </c>
      <c r="AI26" s="39"/>
      <c r="AJ26" s="39"/>
      <c r="AK26" s="39"/>
    </row>
    <row r="27" ht="29.25" spans="1:33">
      <c r="A27" s="19" t="s">
        <v>50</v>
      </c>
      <c r="B27" s="20"/>
      <c r="C27" s="18" t="e">
        <f t="shared" ref="C27:AC27" si="6"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si="6"/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e">
        <f t="shared" si="6"/>
        <v>#DIV/0!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 t="e">
        <f t="shared" si="6"/>
        <v>#DIV/0!</v>
      </c>
      <c r="M27" s="18" t="e">
        <f t="shared" si="6"/>
        <v>#DIV/0!</v>
      </c>
      <c r="N27" s="18" t="e">
        <f t="shared" si="6"/>
        <v>#DIV/0!</v>
      </c>
      <c r="O27" s="18"/>
      <c r="P27" s="18" t="e">
        <f t="shared" si="6"/>
        <v>#DIV/0!</v>
      </c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49"/>
      <c r="AE27" s="49"/>
      <c r="AF27" s="49"/>
      <c r="AG27" s="49"/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O6:AR6">
    <cfRule type="expression" dxfId="0" priority="2">
      <formula>"0&lt;40"</formula>
    </cfRule>
  </conditionalFormatting>
  <conditionalFormatting sqref="C26:AH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G27">
    <cfRule type="cellIs" dxfId="2" priority="7" operator="between">
      <formula>70</formula>
      <formula>100</formula>
    </cfRule>
  </conditionalFormatting>
  <conditionalFormatting sqref="C5:AG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AR58"/>
  <sheetViews>
    <sheetView zoomScale="60" zoomScaleNormal="60" workbookViewId="0">
      <pane ySplit="4" topLeftCell="A5" activePane="bottomLeft" state="frozen"/>
      <selection/>
      <selection pane="bottomLeft" activeCell="B5" sqref="B5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3.6" style="3" customWidth="1"/>
    <col min="4" max="4" width="11.0952380952381" customWidth="1"/>
    <col min="5" max="5" width="14.6" customWidth="1"/>
    <col min="6" max="33" width="10.2952380952381" customWidth="1"/>
    <col min="34" max="34" width="13" customWidth="1"/>
    <col min="35" max="35" width="14.6" customWidth="1"/>
    <col min="36" max="36" width="20.0952380952381" customWidth="1"/>
    <col min="37" max="37" width="16.2952380952381" customWidth="1"/>
    <col min="38" max="38" width="9.09523809523809" customWidth="1"/>
    <col min="39" max="39" width="0.295238095238095" customWidth="1"/>
    <col min="40" max="40" width="16.6952380952381" customWidth="1"/>
    <col min="41" max="41" width="16" customWidth="1"/>
    <col min="42" max="42" width="15.2952380952381" customWidth="1"/>
    <col min="43" max="43" width="15.6" customWidth="1"/>
    <col min="44" max="44" width="16" customWidth="1"/>
  </cols>
  <sheetData>
    <row r="3" ht="50.25" customHeight="1" spans="1:37">
      <c r="A3" s="4" t="s">
        <v>15</v>
      </c>
      <c r="B3" s="5" t="s">
        <v>16</v>
      </c>
      <c r="C3" s="5">
        <v>1</v>
      </c>
      <c r="D3" s="6" t="s">
        <v>106</v>
      </c>
      <c r="E3" s="6" t="s">
        <v>83</v>
      </c>
      <c r="F3" s="6">
        <v>3</v>
      </c>
      <c r="G3" s="6" t="s">
        <v>20</v>
      </c>
      <c r="H3" s="6" t="s">
        <v>21</v>
      </c>
      <c r="I3" s="6">
        <v>5</v>
      </c>
      <c r="J3" s="6">
        <v>6</v>
      </c>
      <c r="K3" s="6">
        <v>7</v>
      </c>
      <c r="L3" s="6">
        <v>8</v>
      </c>
      <c r="M3" s="6">
        <v>9</v>
      </c>
      <c r="N3" s="6">
        <v>10</v>
      </c>
      <c r="O3" s="6">
        <v>11</v>
      </c>
      <c r="P3" s="6" t="s">
        <v>25</v>
      </c>
      <c r="Q3" s="6" t="s">
        <v>26</v>
      </c>
      <c r="R3" s="6">
        <v>13</v>
      </c>
      <c r="S3" s="6">
        <v>14</v>
      </c>
      <c r="T3" s="6">
        <v>15</v>
      </c>
      <c r="U3" s="6">
        <v>16</v>
      </c>
      <c r="V3" s="6" t="s">
        <v>29</v>
      </c>
      <c r="W3" s="6" t="s">
        <v>30</v>
      </c>
      <c r="X3" s="6">
        <v>18</v>
      </c>
      <c r="Y3" s="6">
        <v>19</v>
      </c>
      <c r="Z3" s="6">
        <v>20</v>
      </c>
      <c r="AA3" s="6" t="s">
        <v>58</v>
      </c>
      <c r="AB3" s="6" t="s">
        <v>59</v>
      </c>
      <c r="AC3" s="6">
        <v>22</v>
      </c>
      <c r="AD3" s="6">
        <v>23</v>
      </c>
      <c r="AE3" s="6" t="s">
        <v>80</v>
      </c>
      <c r="AF3" s="6" t="s">
        <v>81</v>
      </c>
      <c r="AG3" s="6" t="s">
        <v>104</v>
      </c>
      <c r="AH3" s="6" t="s">
        <v>33</v>
      </c>
      <c r="AI3" s="29" t="s">
        <v>34</v>
      </c>
      <c r="AJ3" s="30" t="s">
        <v>35</v>
      </c>
      <c r="AK3" s="31" t="s">
        <v>36</v>
      </c>
    </row>
    <row r="4" ht="69" customHeight="1" spans="1:44">
      <c r="A4" s="7"/>
      <c r="B4" s="8" t="s">
        <v>37</v>
      </c>
      <c r="C4" s="46">
        <v>1</v>
      </c>
      <c r="D4" s="21">
        <v>1</v>
      </c>
      <c r="E4" s="21">
        <v>2</v>
      </c>
      <c r="F4" s="9">
        <v>2</v>
      </c>
      <c r="G4" s="11">
        <v>1</v>
      </c>
      <c r="H4" s="11">
        <v>1</v>
      </c>
      <c r="I4" s="21">
        <v>1</v>
      </c>
      <c r="J4" s="9">
        <v>2</v>
      </c>
      <c r="K4" s="11">
        <v>1</v>
      </c>
      <c r="L4" s="21">
        <v>1</v>
      </c>
      <c r="M4" s="21">
        <v>1</v>
      </c>
      <c r="N4" s="23">
        <v>1</v>
      </c>
      <c r="O4" s="23">
        <v>2</v>
      </c>
      <c r="P4" s="22">
        <v>2</v>
      </c>
      <c r="Q4" s="24">
        <v>1</v>
      </c>
      <c r="R4" s="22">
        <v>2</v>
      </c>
      <c r="S4" s="23">
        <v>1</v>
      </c>
      <c r="T4" s="23">
        <v>2</v>
      </c>
      <c r="U4" s="22">
        <v>1</v>
      </c>
      <c r="V4" s="24">
        <v>1</v>
      </c>
      <c r="W4" s="22">
        <v>1</v>
      </c>
      <c r="X4" s="23">
        <v>1</v>
      </c>
      <c r="Y4" s="24">
        <v>1</v>
      </c>
      <c r="Z4" s="23">
        <v>2</v>
      </c>
      <c r="AA4" s="33">
        <v>2</v>
      </c>
      <c r="AB4" s="33">
        <v>1</v>
      </c>
      <c r="AC4" s="34">
        <v>1</v>
      </c>
      <c r="AD4" s="45">
        <v>1</v>
      </c>
      <c r="AE4" s="34">
        <v>1</v>
      </c>
      <c r="AF4" s="33">
        <v>1</v>
      </c>
      <c r="AG4" s="45">
        <v>1</v>
      </c>
      <c r="AH4" s="34">
        <f>SUM(C4:AG4)</f>
        <v>40</v>
      </c>
      <c r="AI4" s="11">
        <f>AG4+AD4+Y4+V4+Q4+K4+H4+G4</f>
        <v>8</v>
      </c>
      <c r="AJ4" s="21">
        <f>AF4+AB4+AA4+W4+U4+R4+P4+M4+L4+I4+E4+D4</f>
        <v>16</v>
      </c>
      <c r="AK4" s="9">
        <f>AE4+AC4+Z4+X4+T4+S4+O4+N4+J4+F4+C4</f>
        <v>16</v>
      </c>
      <c r="AN4" s="40" t="s">
        <v>38</v>
      </c>
      <c r="AO4" s="11" t="s">
        <v>39</v>
      </c>
      <c r="AP4" s="9" t="s">
        <v>40</v>
      </c>
      <c r="AQ4" s="41" t="s">
        <v>41</v>
      </c>
      <c r="AR4" s="21" t="s">
        <v>42</v>
      </c>
    </row>
    <row r="5" ht="27.75" spans="1:44">
      <c r="A5" s="12">
        <v>1</v>
      </c>
      <c r="B5" s="13" t="s">
        <v>107</v>
      </c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34">
        <f t="shared" ref="AH5:AH24" si="0">SUM(C5:AG5)</f>
        <v>0</v>
      </c>
      <c r="AI5" s="11">
        <f t="shared" ref="AI5:AI24" si="1">AG5+AD5+Y5+V5+Q5+K5+H5+G5</f>
        <v>0</v>
      </c>
      <c r="AJ5" s="21">
        <f t="shared" ref="AJ5:AJ24" si="2">AF5+AB5+AA5+W5+U5+R5+P5+M5+L5+I5+E5+D5</f>
        <v>0</v>
      </c>
      <c r="AK5" s="9">
        <f t="shared" ref="AK5:AK24" si="3">AE5+AC5+Z5+X5+T5+S5+O5+N5+J5+F5+C5</f>
        <v>0</v>
      </c>
      <c r="AN5" s="42" t="s">
        <v>43</v>
      </c>
      <c r="AO5" s="11" t="s">
        <v>44</v>
      </c>
      <c r="AP5" s="9" t="s">
        <v>45</v>
      </c>
      <c r="AQ5" s="41" t="s">
        <v>46</v>
      </c>
      <c r="AR5" s="21" t="s">
        <v>47</v>
      </c>
    </row>
    <row r="6" ht="27.75" spans="1:44">
      <c r="A6" s="12">
        <v>2</v>
      </c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34">
        <f t="shared" si="0"/>
        <v>0</v>
      </c>
      <c r="AI6" s="11">
        <f t="shared" si="1"/>
        <v>0</v>
      </c>
      <c r="AJ6" s="21">
        <f t="shared" si="2"/>
        <v>0</v>
      </c>
      <c r="AK6" s="9">
        <f t="shared" si="3"/>
        <v>0</v>
      </c>
      <c r="AN6">
        <v>71</v>
      </c>
      <c r="AO6">
        <v>71</v>
      </c>
      <c r="AP6">
        <v>71</v>
      </c>
      <c r="AQ6">
        <v>71</v>
      </c>
      <c r="AR6">
        <v>71</v>
      </c>
    </row>
    <row r="7" ht="27.75" spans="1:37">
      <c r="A7" s="12">
        <v>3</v>
      </c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34">
        <f t="shared" si="0"/>
        <v>0</v>
      </c>
      <c r="AI7" s="11">
        <f t="shared" si="1"/>
        <v>0</v>
      </c>
      <c r="AJ7" s="21">
        <f t="shared" si="2"/>
        <v>0</v>
      </c>
      <c r="AK7" s="9">
        <f t="shared" si="3"/>
        <v>0</v>
      </c>
    </row>
    <row r="8" ht="27.75" spans="1:37">
      <c r="A8" s="12">
        <v>4</v>
      </c>
      <c r="B8" s="13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34">
        <f t="shared" si="0"/>
        <v>0</v>
      </c>
      <c r="AI8" s="11">
        <f t="shared" si="1"/>
        <v>0</v>
      </c>
      <c r="AJ8" s="21">
        <f t="shared" si="2"/>
        <v>0</v>
      </c>
      <c r="AK8" s="9">
        <f t="shared" si="3"/>
        <v>0</v>
      </c>
    </row>
    <row r="9" ht="27.75" spans="1:37">
      <c r="A9" s="12">
        <v>5</v>
      </c>
      <c r="B9" s="13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34">
        <f t="shared" si="0"/>
        <v>0</v>
      </c>
      <c r="AI9" s="11">
        <f t="shared" si="1"/>
        <v>0</v>
      </c>
      <c r="AJ9" s="21">
        <f t="shared" si="2"/>
        <v>0</v>
      </c>
      <c r="AK9" s="9">
        <f t="shared" si="3"/>
        <v>0</v>
      </c>
    </row>
    <row r="10" ht="27.75" spans="1:37">
      <c r="A10" s="12">
        <v>6</v>
      </c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27"/>
      <c r="V10" s="27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34">
        <f t="shared" si="0"/>
        <v>0</v>
      </c>
      <c r="AI10" s="11">
        <f t="shared" si="1"/>
        <v>0</v>
      </c>
      <c r="AJ10" s="21">
        <f t="shared" si="2"/>
        <v>0</v>
      </c>
      <c r="AK10" s="9">
        <f t="shared" si="3"/>
        <v>0</v>
      </c>
    </row>
    <row r="11" ht="27.75" spans="1:37">
      <c r="A11" s="12">
        <v>7</v>
      </c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34">
        <f t="shared" si="0"/>
        <v>0</v>
      </c>
      <c r="AI11" s="11">
        <f t="shared" si="1"/>
        <v>0</v>
      </c>
      <c r="AJ11" s="21">
        <f t="shared" si="2"/>
        <v>0</v>
      </c>
      <c r="AK11" s="9">
        <f t="shared" si="3"/>
        <v>0</v>
      </c>
    </row>
    <row r="12" ht="27.75" spans="1:37">
      <c r="A12" s="12">
        <v>8</v>
      </c>
      <c r="B12" s="13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27"/>
      <c r="V12" s="27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34">
        <f t="shared" si="0"/>
        <v>0</v>
      </c>
      <c r="AI12" s="11">
        <f t="shared" si="1"/>
        <v>0</v>
      </c>
      <c r="AJ12" s="21">
        <f t="shared" si="2"/>
        <v>0</v>
      </c>
      <c r="AK12" s="9">
        <f t="shared" si="3"/>
        <v>0</v>
      </c>
    </row>
    <row r="13" ht="27.75" spans="1:37">
      <c r="A13" s="12">
        <v>9</v>
      </c>
      <c r="B13" s="13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27"/>
      <c r="V13" s="27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34">
        <f t="shared" si="0"/>
        <v>0</v>
      </c>
      <c r="AI13" s="11">
        <f t="shared" si="1"/>
        <v>0</v>
      </c>
      <c r="AJ13" s="21">
        <f t="shared" si="2"/>
        <v>0</v>
      </c>
      <c r="AK13" s="9">
        <f t="shared" si="3"/>
        <v>0</v>
      </c>
    </row>
    <row r="14" ht="27.75" spans="1:37">
      <c r="A14" s="12">
        <v>10</v>
      </c>
      <c r="B14" s="13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27"/>
      <c r="V14" s="27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34">
        <f t="shared" si="0"/>
        <v>0</v>
      </c>
      <c r="AI14" s="11">
        <f t="shared" si="1"/>
        <v>0</v>
      </c>
      <c r="AJ14" s="21">
        <f t="shared" si="2"/>
        <v>0</v>
      </c>
      <c r="AK14" s="9">
        <f t="shared" si="3"/>
        <v>0</v>
      </c>
    </row>
    <row r="15" ht="27.75" spans="1:37">
      <c r="A15" s="12">
        <v>11</v>
      </c>
      <c r="B15" s="13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27"/>
      <c r="V15" s="27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34">
        <f t="shared" si="0"/>
        <v>0</v>
      </c>
      <c r="AI15" s="11">
        <f t="shared" si="1"/>
        <v>0</v>
      </c>
      <c r="AJ15" s="21">
        <f t="shared" si="2"/>
        <v>0</v>
      </c>
      <c r="AK15" s="9">
        <f t="shared" si="3"/>
        <v>0</v>
      </c>
    </row>
    <row r="16" ht="27.75" spans="1:37">
      <c r="A16" s="12">
        <v>12</v>
      </c>
      <c r="B16" s="13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34">
        <f t="shared" si="0"/>
        <v>0</v>
      </c>
      <c r="AI16" s="11">
        <f t="shared" si="1"/>
        <v>0</v>
      </c>
      <c r="AJ16" s="21">
        <f t="shared" si="2"/>
        <v>0</v>
      </c>
      <c r="AK16" s="9">
        <f t="shared" si="3"/>
        <v>0</v>
      </c>
    </row>
    <row r="17" ht="27.75" spans="1:37">
      <c r="A17" s="12">
        <v>13</v>
      </c>
      <c r="B17" s="13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34">
        <f t="shared" si="0"/>
        <v>0</v>
      </c>
      <c r="AI17" s="11">
        <f t="shared" si="1"/>
        <v>0</v>
      </c>
      <c r="AJ17" s="21">
        <f t="shared" si="2"/>
        <v>0</v>
      </c>
      <c r="AK17" s="9">
        <f t="shared" si="3"/>
        <v>0</v>
      </c>
    </row>
    <row r="18" ht="27.75" spans="1:37">
      <c r="A18" s="12">
        <v>14</v>
      </c>
      <c r="B18" s="13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34">
        <f t="shared" si="0"/>
        <v>0</v>
      </c>
      <c r="AI18" s="11">
        <f t="shared" si="1"/>
        <v>0</v>
      </c>
      <c r="AJ18" s="21">
        <f t="shared" si="2"/>
        <v>0</v>
      </c>
      <c r="AK18" s="9">
        <f t="shared" si="3"/>
        <v>0</v>
      </c>
    </row>
    <row r="19" ht="27.75" spans="1:37">
      <c r="A19" s="12">
        <v>15</v>
      </c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34">
        <f t="shared" si="0"/>
        <v>0</v>
      </c>
      <c r="AI19" s="11">
        <f t="shared" si="1"/>
        <v>0</v>
      </c>
      <c r="AJ19" s="21">
        <f t="shared" si="2"/>
        <v>0</v>
      </c>
      <c r="AK19" s="9">
        <f t="shared" si="3"/>
        <v>0</v>
      </c>
    </row>
    <row r="20" ht="27.75" spans="1:37">
      <c r="A20" s="12">
        <v>16</v>
      </c>
      <c r="B20" s="13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34">
        <f t="shared" si="0"/>
        <v>0</v>
      </c>
      <c r="AI20" s="11">
        <f t="shared" si="1"/>
        <v>0</v>
      </c>
      <c r="AJ20" s="21">
        <f t="shared" si="2"/>
        <v>0</v>
      </c>
      <c r="AK20" s="9">
        <f t="shared" si="3"/>
        <v>0</v>
      </c>
    </row>
    <row r="21" ht="27.75" spans="1:37">
      <c r="A21" s="12">
        <v>17</v>
      </c>
      <c r="B21" s="13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34">
        <f t="shared" si="0"/>
        <v>0</v>
      </c>
      <c r="AI21" s="11">
        <f t="shared" si="1"/>
        <v>0</v>
      </c>
      <c r="AJ21" s="21">
        <f t="shared" si="2"/>
        <v>0</v>
      </c>
      <c r="AK21" s="9">
        <f t="shared" si="3"/>
        <v>0</v>
      </c>
    </row>
    <row r="22" ht="27.75" spans="1:37">
      <c r="A22" s="12">
        <v>18</v>
      </c>
      <c r="B22" s="13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34">
        <f t="shared" si="0"/>
        <v>0</v>
      </c>
      <c r="AI22" s="11">
        <f t="shared" si="1"/>
        <v>0</v>
      </c>
      <c r="AJ22" s="21">
        <f t="shared" si="2"/>
        <v>0</v>
      </c>
      <c r="AK22" s="9">
        <f t="shared" si="3"/>
        <v>0</v>
      </c>
    </row>
    <row r="23" ht="27.75" spans="1:37">
      <c r="A23" s="12">
        <v>19</v>
      </c>
      <c r="B23" s="13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34">
        <f t="shared" si="0"/>
        <v>0</v>
      </c>
      <c r="AI23" s="11">
        <f t="shared" si="1"/>
        <v>0</v>
      </c>
      <c r="AJ23" s="21">
        <f t="shared" si="2"/>
        <v>0</v>
      </c>
      <c r="AK23" s="9">
        <f t="shared" si="3"/>
        <v>0</v>
      </c>
    </row>
    <row r="24" ht="27.75" spans="1:37">
      <c r="A24" s="12">
        <v>20</v>
      </c>
      <c r="B24" s="13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34">
        <f t="shared" si="0"/>
        <v>0</v>
      </c>
      <c r="AI24" s="11">
        <f t="shared" si="1"/>
        <v>0</v>
      </c>
      <c r="AJ24" s="21">
        <f t="shared" si="2"/>
        <v>0</v>
      </c>
      <c r="AK24" s="9">
        <f t="shared" si="3"/>
        <v>0</v>
      </c>
    </row>
    <row r="25" ht="28.5" spans="1:37">
      <c r="A25" s="15" t="s">
        <v>48</v>
      </c>
      <c r="B25" s="16"/>
      <c r="C25" s="16"/>
      <c r="D25" s="17" t="e">
        <f t="shared" ref="D25:AH25" si="4">AVERAGE(D5:D24)</f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 t="e">
        <f t="shared" si="4"/>
        <v>#DIV/0!</v>
      </c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 t="e">
        <f t="shared" si="4"/>
        <v>#DIV/0!</v>
      </c>
      <c r="M25" s="17" t="e">
        <f t="shared" si="4"/>
        <v>#DIV/0!</v>
      </c>
      <c r="N25" s="17" t="e">
        <f t="shared" si="4"/>
        <v>#DIV/0!</v>
      </c>
      <c r="O25" s="17" t="e">
        <f t="shared" si="4"/>
        <v>#DIV/0!</v>
      </c>
      <c r="P25" s="17"/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>
        <f t="shared" si="4"/>
        <v>0</v>
      </c>
      <c r="AI25" s="39">
        <f>SUM(AI5:AI24)</f>
        <v>0</v>
      </c>
      <c r="AJ25" s="39">
        <f>SUM(AJ5:AJ24)</f>
        <v>0</v>
      </c>
      <c r="AK25" s="39">
        <f>SUM(AK5:AK24)</f>
        <v>0</v>
      </c>
    </row>
    <row r="26" ht="51.75" customHeight="1" spans="1:37">
      <c r="A26" s="15"/>
      <c r="B26" s="16" t="s">
        <v>49</v>
      </c>
      <c r="C26" s="47"/>
      <c r="D26" s="18" t="e">
        <f t="shared" ref="D26:AH26" si="5">D25/D4*100</f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 t="e">
        <f t="shared" si="5"/>
        <v>#DIV/0!</v>
      </c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 t="e">
        <f t="shared" si="5"/>
        <v>#DIV/0!</v>
      </c>
      <c r="M26" s="18" t="e">
        <f t="shared" si="5"/>
        <v>#DIV/0!</v>
      </c>
      <c r="N26" s="18" t="e">
        <f t="shared" si="5"/>
        <v>#DIV/0!</v>
      </c>
      <c r="O26" s="18" t="e">
        <f t="shared" si="5"/>
        <v>#DIV/0!</v>
      </c>
      <c r="P26" s="18"/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>
        <f t="shared" si="5"/>
        <v>0</v>
      </c>
      <c r="AI26" s="39"/>
      <c r="AJ26" s="39"/>
      <c r="AK26" s="39"/>
    </row>
    <row r="27" ht="29.25" spans="1:33">
      <c r="A27" s="19" t="s">
        <v>108</v>
      </c>
      <c r="B27" s="20"/>
      <c r="C27" s="48"/>
      <c r="D27" s="18" t="e">
        <f t="shared" ref="D27:AD27" si="6">IF(D26&gt;70,"مستوى متميز",IF(D26&gt;60,"مستوى جيد",IF(D26&gt;50,"مستوى ملائم",IF(D26&gt;=40,"مستوى غير ملائم"," يحتاج الى تدخل سريع"))))</f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e">
        <f t="shared" si="6"/>
        <v>#DIV/0!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 t="e">
        <f t="shared" si="6"/>
        <v>#DIV/0!</v>
      </c>
      <c r="M27" s="18" t="e">
        <f t="shared" si="6"/>
        <v>#DIV/0!</v>
      </c>
      <c r="N27" s="18" t="e">
        <f t="shared" si="6"/>
        <v>#DIV/0!</v>
      </c>
      <c r="O27" s="18" t="e">
        <f t="shared" si="6"/>
        <v>#DIV/0!</v>
      </c>
      <c r="P27" s="18"/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18" t="e">
        <f t="shared" si="6"/>
        <v>#DIV/0!</v>
      </c>
      <c r="AE27" s="49"/>
      <c r="AF27" s="49"/>
      <c r="AG27" s="49"/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O6:AR6">
    <cfRule type="expression" dxfId="0" priority="2">
      <formula>"0&lt;40"</formula>
    </cfRule>
  </conditionalFormatting>
  <conditionalFormatting sqref="D26:AH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D27:AG27">
    <cfRule type="cellIs" dxfId="2" priority="7" operator="between">
      <formula>70</formula>
      <formula>100</formula>
    </cfRule>
  </conditionalFormatting>
  <conditionalFormatting sqref="D5:AG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NOT(ISERROR(SEARCH("0",D5)))</formula>
    </cfRule>
    <cfRule type="containsText" dxfId="9" priority="11" operator="between" text="0">
      <formula>NOT(ISERROR(SEARCH("0",D5)))</formula>
    </cfRule>
    <cfRule type="containsText" dxfId="10" priority="12" operator="between" text="1">
      <formula>NOT(ISERROR(SEARCH("1",D5)))</formula>
    </cfRule>
    <cfRule type="containsText" dxfId="11" priority="13" operator="between" text="0">
      <formula>NOT(ISERROR(SEARCH("0",D5)))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3:AU58"/>
  <sheetViews>
    <sheetView zoomScale="50" zoomScaleNormal="50" workbookViewId="0">
      <pane ySplit="4" topLeftCell="A5" activePane="bottomLeft" state="frozen"/>
      <selection/>
      <selection pane="bottomLeft" activeCell="C5" sqref="C5:AH23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4" width="11.0952380952381" customWidth="1"/>
    <col min="5" max="5" width="14.6" customWidth="1"/>
    <col min="6" max="36" width="10.2952380952381" customWidth="1"/>
    <col min="37" max="37" width="13" customWidth="1"/>
    <col min="38" max="38" width="14.6" customWidth="1"/>
    <col min="39" max="39" width="20.0952380952381" customWidth="1"/>
    <col min="40" max="40" width="16.2952380952381" customWidth="1"/>
    <col min="41" max="41" width="9.09523809523809" customWidth="1"/>
    <col min="42" max="42" width="0.295238095238095" customWidth="1"/>
    <col min="43" max="43" width="16.6952380952381" customWidth="1"/>
    <col min="44" max="44" width="16" customWidth="1"/>
    <col min="45" max="45" width="15.2952380952381" customWidth="1"/>
    <col min="46" max="46" width="15.6" customWidth="1"/>
    <col min="47" max="47" width="16" customWidth="1"/>
  </cols>
  <sheetData>
    <row r="3" ht="50.25" customHeight="1" spans="1:40">
      <c r="A3" s="4" t="s">
        <v>15</v>
      </c>
      <c r="B3" s="5" t="s">
        <v>16</v>
      </c>
      <c r="C3" s="6">
        <v>1</v>
      </c>
      <c r="D3" s="6">
        <v>2</v>
      </c>
      <c r="E3" s="6" t="s">
        <v>17</v>
      </c>
      <c r="F3" s="6" t="s">
        <v>18</v>
      </c>
      <c r="G3" s="6">
        <v>4</v>
      </c>
      <c r="H3" s="6" t="s">
        <v>102</v>
      </c>
      <c r="I3" s="6" t="s">
        <v>103</v>
      </c>
      <c r="J3" s="6">
        <v>6</v>
      </c>
      <c r="K3" s="6">
        <v>7</v>
      </c>
      <c r="L3" s="6">
        <v>8</v>
      </c>
      <c r="M3" s="6">
        <v>9</v>
      </c>
      <c r="N3" s="6">
        <v>10</v>
      </c>
      <c r="O3" s="6">
        <v>11</v>
      </c>
      <c r="P3" s="6">
        <v>12</v>
      </c>
      <c r="Q3" s="6" t="s">
        <v>53</v>
      </c>
      <c r="R3" s="6" t="s">
        <v>54</v>
      </c>
      <c r="S3" s="6">
        <v>14</v>
      </c>
      <c r="T3" s="6" t="s">
        <v>55</v>
      </c>
      <c r="U3" s="6" t="s">
        <v>56</v>
      </c>
      <c r="V3" s="6">
        <v>16</v>
      </c>
      <c r="W3" s="6" t="s">
        <v>29</v>
      </c>
      <c r="X3" s="6" t="s">
        <v>30</v>
      </c>
      <c r="Y3" s="6" t="s">
        <v>109</v>
      </c>
      <c r="Z3" s="6" t="s">
        <v>110</v>
      </c>
      <c r="AA3" s="6">
        <v>19</v>
      </c>
      <c r="AB3" s="6" t="s">
        <v>78</v>
      </c>
      <c r="AC3" s="6" t="s">
        <v>79</v>
      </c>
      <c r="AD3" s="6" t="s">
        <v>111</v>
      </c>
      <c r="AE3" s="6" t="s">
        <v>112</v>
      </c>
      <c r="AF3" s="6">
        <v>21</v>
      </c>
      <c r="AG3" s="6">
        <v>22</v>
      </c>
      <c r="AH3" s="28" t="s">
        <v>113</v>
      </c>
      <c r="AI3" s="28" t="s">
        <v>114</v>
      </c>
      <c r="AJ3" s="28">
        <v>24</v>
      </c>
      <c r="AK3" s="28" t="s">
        <v>33</v>
      </c>
      <c r="AL3" s="29" t="s">
        <v>34</v>
      </c>
      <c r="AM3" s="30" t="s">
        <v>35</v>
      </c>
      <c r="AN3" s="31" t="s">
        <v>36</v>
      </c>
    </row>
    <row r="4" ht="69" customHeight="1" spans="1:47">
      <c r="A4" s="7"/>
      <c r="B4" s="8" t="s">
        <v>37</v>
      </c>
      <c r="C4" s="9">
        <v>1</v>
      </c>
      <c r="D4" s="9">
        <v>2</v>
      </c>
      <c r="E4" s="9">
        <v>1</v>
      </c>
      <c r="F4" s="21">
        <v>1</v>
      </c>
      <c r="G4" s="21">
        <v>1</v>
      </c>
      <c r="H4" s="21">
        <v>1</v>
      </c>
      <c r="I4" s="21">
        <v>1</v>
      </c>
      <c r="J4" s="21">
        <v>1</v>
      </c>
      <c r="K4" s="9">
        <v>2</v>
      </c>
      <c r="L4" s="11">
        <v>1</v>
      </c>
      <c r="M4" s="21">
        <v>2</v>
      </c>
      <c r="N4" s="9">
        <v>1</v>
      </c>
      <c r="O4" s="21">
        <v>1</v>
      </c>
      <c r="P4" s="24">
        <v>1</v>
      </c>
      <c r="Q4" s="22">
        <v>1</v>
      </c>
      <c r="R4" s="22">
        <v>1</v>
      </c>
      <c r="S4" s="23">
        <v>1</v>
      </c>
      <c r="T4" s="24">
        <v>1</v>
      </c>
      <c r="U4" s="24">
        <v>1</v>
      </c>
      <c r="V4" s="23">
        <v>2</v>
      </c>
      <c r="W4" s="22">
        <v>1</v>
      </c>
      <c r="X4" s="24">
        <v>1</v>
      </c>
      <c r="Y4" s="23">
        <v>1</v>
      </c>
      <c r="Z4" s="23">
        <v>1</v>
      </c>
      <c r="AA4" s="24">
        <v>1</v>
      </c>
      <c r="AB4" s="23">
        <v>1</v>
      </c>
      <c r="AC4" s="23">
        <v>1</v>
      </c>
      <c r="AD4" s="33">
        <v>1</v>
      </c>
      <c r="AE4" s="33">
        <v>1</v>
      </c>
      <c r="AF4" s="34">
        <v>1</v>
      </c>
      <c r="AG4" s="33">
        <v>1</v>
      </c>
      <c r="AH4" s="34">
        <v>1</v>
      </c>
      <c r="AI4" s="45">
        <v>2</v>
      </c>
      <c r="AJ4" s="33">
        <v>2</v>
      </c>
      <c r="AK4" s="34">
        <f>SUM(C4:AJ4)</f>
        <v>40</v>
      </c>
      <c r="AL4" s="11">
        <f>AI4+AA4+X4+U4+T4+P4+L4</f>
        <v>8</v>
      </c>
      <c r="AM4" s="21">
        <f>AJ4+AG4+AE4+AD4+W4+R4+Q4+O4+M4+J4+I4+H4+G4+F4</f>
        <v>16</v>
      </c>
      <c r="AN4" s="9">
        <f>AH4+AF4+AC4+AB4+Z4+Y4+V4+S4+N4+K4+E4+D4+C4</f>
        <v>16</v>
      </c>
      <c r="AQ4" s="40" t="s">
        <v>38</v>
      </c>
      <c r="AR4" s="11" t="s">
        <v>39</v>
      </c>
      <c r="AS4" s="9" t="s">
        <v>40</v>
      </c>
      <c r="AT4" s="41" t="s">
        <v>41</v>
      </c>
      <c r="AU4" s="21" t="s">
        <v>42</v>
      </c>
    </row>
    <row r="5" ht="27.75" spans="1:47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34">
        <f t="shared" ref="AK5:AK24" si="0">SUM(C5:AJ5)</f>
        <v>0</v>
      </c>
      <c r="AL5" s="11">
        <f t="shared" ref="AL5:AL24" si="1">AI5+AA5+X5+U5+T5+P5+L5</f>
        <v>0</v>
      </c>
      <c r="AM5" s="21">
        <f t="shared" ref="AM5:AM24" si="2">AJ5+AG5+AE5+AD5+W5+R5+Q5+O5+M5+J5+I5+H5+G5+F5</f>
        <v>0</v>
      </c>
      <c r="AN5" s="9">
        <f t="shared" ref="AN5:AN24" si="3">AH5+AF5+AC5+AB5+Z5+Y5+V5+S5+N5+K5+E5+D5+C5</f>
        <v>0</v>
      </c>
      <c r="AQ5" s="42" t="s">
        <v>43</v>
      </c>
      <c r="AR5" s="11" t="s">
        <v>44</v>
      </c>
      <c r="AS5" s="9" t="s">
        <v>45</v>
      </c>
      <c r="AT5" s="41" t="s">
        <v>46</v>
      </c>
      <c r="AU5" s="21" t="s">
        <v>47</v>
      </c>
    </row>
    <row r="6" ht="27.75" spans="1:47">
      <c r="A6" s="12">
        <v>2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34">
        <f t="shared" si="0"/>
        <v>0</v>
      </c>
      <c r="AL6" s="11">
        <f t="shared" si="1"/>
        <v>0</v>
      </c>
      <c r="AM6" s="21">
        <f t="shared" si="2"/>
        <v>0</v>
      </c>
      <c r="AN6" s="9">
        <f t="shared" si="3"/>
        <v>0</v>
      </c>
      <c r="AQ6">
        <v>71</v>
      </c>
      <c r="AR6">
        <v>71</v>
      </c>
      <c r="AS6">
        <v>71</v>
      </c>
      <c r="AT6">
        <v>71</v>
      </c>
      <c r="AU6">
        <v>71</v>
      </c>
    </row>
    <row r="7" ht="27.75" spans="1:40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34">
        <f t="shared" si="0"/>
        <v>0</v>
      </c>
      <c r="AL7" s="11">
        <f t="shared" si="1"/>
        <v>0</v>
      </c>
      <c r="AM7" s="21">
        <f t="shared" si="2"/>
        <v>0</v>
      </c>
      <c r="AN7" s="9">
        <f t="shared" si="3"/>
        <v>0</v>
      </c>
    </row>
    <row r="8" ht="27.75" spans="1:40">
      <c r="A8" s="12">
        <v>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34">
        <f t="shared" si="0"/>
        <v>0</v>
      </c>
      <c r="AL8" s="11">
        <f t="shared" si="1"/>
        <v>0</v>
      </c>
      <c r="AM8" s="21">
        <f t="shared" si="2"/>
        <v>0</v>
      </c>
      <c r="AN8" s="9">
        <f t="shared" si="3"/>
        <v>0</v>
      </c>
    </row>
    <row r="9" ht="27.75" spans="1:40">
      <c r="A9" s="12">
        <v>5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34">
        <f t="shared" si="0"/>
        <v>0</v>
      </c>
      <c r="AL9" s="11">
        <f t="shared" si="1"/>
        <v>0</v>
      </c>
      <c r="AM9" s="21">
        <f t="shared" si="2"/>
        <v>0</v>
      </c>
      <c r="AN9" s="9">
        <f t="shared" si="3"/>
        <v>0</v>
      </c>
    </row>
    <row r="10" ht="27.75" spans="1:40">
      <c r="A10" s="12">
        <v>6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34">
        <f t="shared" si="0"/>
        <v>0</v>
      </c>
      <c r="AL10" s="11">
        <f t="shared" si="1"/>
        <v>0</v>
      </c>
      <c r="AM10" s="21">
        <f t="shared" si="2"/>
        <v>0</v>
      </c>
      <c r="AN10" s="9">
        <f t="shared" si="3"/>
        <v>0</v>
      </c>
    </row>
    <row r="11" ht="27.75" spans="1:40">
      <c r="A11" s="12">
        <v>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34">
        <f t="shared" si="0"/>
        <v>0</v>
      </c>
      <c r="AL11" s="11">
        <f t="shared" si="1"/>
        <v>0</v>
      </c>
      <c r="AM11" s="21">
        <f t="shared" si="2"/>
        <v>0</v>
      </c>
      <c r="AN11" s="9">
        <f t="shared" si="3"/>
        <v>0</v>
      </c>
    </row>
    <row r="12" ht="27.75" spans="1:40">
      <c r="A12" s="12">
        <v>8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34">
        <f t="shared" si="0"/>
        <v>0</v>
      </c>
      <c r="AL12" s="11">
        <f t="shared" si="1"/>
        <v>0</v>
      </c>
      <c r="AM12" s="21">
        <f t="shared" si="2"/>
        <v>0</v>
      </c>
      <c r="AN12" s="9">
        <f t="shared" si="3"/>
        <v>0</v>
      </c>
    </row>
    <row r="13" ht="27.75" spans="1:40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34">
        <f t="shared" si="0"/>
        <v>0</v>
      </c>
      <c r="AL13" s="11">
        <f t="shared" si="1"/>
        <v>0</v>
      </c>
      <c r="AM13" s="21">
        <f t="shared" si="2"/>
        <v>0</v>
      </c>
      <c r="AN13" s="9">
        <f t="shared" si="3"/>
        <v>0</v>
      </c>
    </row>
    <row r="14" ht="27.75" spans="1:40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34">
        <f t="shared" si="0"/>
        <v>0</v>
      </c>
      <c r="AL14" s="11">
        <f t="shared" si="1"/>
        <v>0</v>
      </c>
      <c r="AM14" s="21">
        <f t="shared" si="2"/>
        <v>0</v>
      </c>
      <c r="AN14" s="9">
        <f t="shared" si="3"/>
        <v>0</v>
      </c>
    </row>
    <row r="15" ht="27.75" spans="1:40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34">
        <f t="shared" si="0"/>
        <v>0</v>
      </c>
      <c r="AL15" s="11">
        <f t="shared" si="1"/>
        <v>0</v>
      </c>
      <c r="AM15" s="21">
        <f t="shared" si="2"/>
        <v>0</v>
      </c>
      <c r="AN15" s="9">
        <f t="shared" si="3"/>
        <v>0</v>
      </c>
    </row>
    <row r="16" ht="27.75" spans="1:40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34">
        <f t="shared" si="0"/>
        <v>0</v>
      </c>
      <c r="AL16" s="11">
        <f t="shared" si="1"/>
        <v>0</v>
      </c>
      <c r="AM16" s="21">
        <f t="shared" si="2"/>
        <v>0</v>
      </c>
      <c r="AN16" s="9">
        <f t="shared" si="3"/>
        <v>0</v>
      </c>
    </row>
    <row r="17" ht="27.75" spans="1:40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34">
        <f t="shared" si="0"/>
        <v>0</v>
      </c>
      <c r="AL17" s="11">
        <f t="shared" si="1"/>
        <v>0</v>
      </c>
      <c r="AM17" s="21">
        <f t="shared" si="2"/>
        <v>0</v>
      </c>
      <c r="AN17" s="9">
        <f t="shared" si="3"/>
        <v>0</v>
      </c>
    </row>
    <row r="18" ht="27.75" spans="1:40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34">
        <f t="shared" si="0"/>
        <v>0</v>
      </c>
      <c r="AL18" s="11">
        <f t="shared" si="1"/>
        <v>0</v>
      </c>
      <c r="AM18" s="21">
        <f t="shared" si="2"/>
        <v>0</v>
      </c>
      <c r="AN18" s="9">
        <f t="shared" si="3"/>
        <v>0</v>
      </c>
    </row>
    <row r="19" ht="27.75" spans="1:40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34">
        <f t="shared" si="0"/>
        <v>0</v>
      </c>
      <c r="AL19" s="11">
        <f t="shared" si="1"/>
        <v>0</v>
      </c>
      <c r="AM19" s="21">
        <f t="shared" si="2"/>
        <v>0</v>
      </c>
      <c r="AN19" s="9">
        <f t="shared" si="3"/>
        <v>0</v>
      </c>
    </row>
    <row r="20" ht="27.75" spans="1:40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34">
        <f t="shared" si="0"/>
        <v>0</v>
      </c>
      <c r="AL20" s="11">
        <f t="shared" si="1"/>
        <v>0</v>
      </c>
      <c r="AM20" s="21">
        <f t="shared" si="2"/>
        <v>0</v>
      </c>
      <c r="AN20" s="9">
        <f t="shared" si="3"/>
        <v>0</v>
      </c>
    </row>
    <row r="21" ht="27.75" spans="1:40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34">
        <f t="shared" si="0"/>
        <v>0</v>
      </c>
      <c r="AL21" s="11">
        <f t="shared" si="1"/>
        <v>0</v>
      </c>
      <c r="AM21" s="21">
        <f t="shared" si="2"/>
        <v>0</v>
      </c>
      <c r="AN21" s="9">
        <f t="shared" si="3"/>
        <v>0</v>
      </c>
    </row>
    <row r="22" ht="27.75" spans="1:40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34">
        <f t="shared" si="0"/>
        <v>0</v>
      </c>
      <c r="AL22" s="11">
        <f t="shared" si="1"/>
        <v>0</v>
      </c>
      <c r="AM22" s="21">
        <f t="shared" si="2"/>
        <v>0</v>
      </c>
      <c r="AN22" s="9">
        <f t="shared" si="3"/>
        <v>0</v>
      </c>
    </row>
    <row r="23" ht="27.75" spans="1:40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34">
        <f t="shared" si="0"/>
        <v>0</v>
      </c>
      <c r="AL23" s="11">
        <f t="shared" si="1"/>
        <v>0</v>
      </c>
      <c r="AM23" s="21">
        <f t="shared" si="2"/>
        <v>0</v>
      </c>
      <c r="AN23" s="9">
        <f t="shared" si="3"/>
        <v>0</v>
      </c>
    </row>
    <row r="24" ht="27.75" spans="1:40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34">
        <f t="shared" si="0"/>
        <v>0</v>
      </c>
      <c r="AL24" s="11">
        <f t="shared" si="1"/>
        <v>0</v>
      </c>
      <c r="AM24" s="21">
        <f t="shared" si="2"/>
        <v>0</v>
      </c>
      <c r="AN24" s="9">
        <f t="shared" si="3"/>
        <v>0</v>
      </c>
    </row>
    <row r="25" ht="28.5" spans="1:40">
      <c r="A25" s="15" t="s">
        <v>48</v>
      </c>
      <c r="B25" s="16"/>
      <c r="C25" s="17" t="e">
        <f>AVERAGE(C5:C24)</f>
        <v>#DIV/0!</v>
      </c>
      <c r="D25" s="17" t="e">
        <f t="shared" ref="D25:AJ25" si="4">AVERAGE(D5:D24)</f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 t="e">
        <f t="shared" si="4"/>
        <v>#DIV/0!</v>
      </c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/>
      <c r="M25" s="17" t="e">
        <f t="shared" si="4"/>
        <v>#DIV/0!</v>
      </c>
      <c r="N25" s="17" t="e">
        <f t="shared" si="4"/>
        <v>#DIV/0!</v>
      </c>
      <c r="O25" s="17" t="e">
        <f t="shared" si="4"/>
        <v>#DIV/0!</v>
      </c>
      <c r="P25" s="17" t="e">
        <f t="shared" si="4"/>
        <v>#DIV/0!</v>
      </c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 t="e">
        <f t="shared" si="4"/>
        <v>#DIV/0!</v>
      </c>
      <c r="AI25" s="17" t="e">
        <f t="shared" si="4"/>
        <v>#DIV/0!</v>
      </c>
      <c r="AJ25" s="17" t="e">
        <f t="shared" si="4"/>
        <v>#DIV/0!</v>
      </c>
      <c r="AK25" s="14"/>
      <c r="AL25" s="39">
        <f>SUM(AL5:AL24)</f>
        <v>0</v>
      </c>
      <c r="AM25" s="39">
        <f>SUM(AM5:AM24)</f>
        <v>0</v>
      </c>
      <c r="AN25" s="39">
        <f>SUM(AN5:AN24)</f>
        <v>0</v>
      </c>
    </row>
    <row r="26" ht="51.75" customHeight="1" spans="1:40">
      <c r="A26" s="15"/>
      <c r="B26" s="16" t="s">
        <v>49</v>
      </c>
      <c r="C26" s="18" t="e">
        <f t="shared" ref="C26:AJ26" si="5">C25/C4*100</f>
        <v>#DIV/0!</v>
      </c>
      <c r="D26" s="18" t="e">
        <f t="shared" si="5"/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 t="e">
        <f t="shared" si="5"/>
        <v>#DIV/0!</v>
      </c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/>
      <c r="M26" s="18" t="e">
        <f t="shared" si="5"/>
        <v>#DIV/0!</v>
      </c>
      <c r="N26" s="18" t="e">
        <f t="shared" si="5"/>
        <v>#DIV/0!</v>
      </c>
      <c r="O26" s="18" t="e">
        <f t="shared" si="5"/>
        <v>#DIV/0!</v>
      </c>
      <c r="P26" s="18" t="e">
        <f t="shared" si="5"/>
        <v>#DIV/0!</v>
      </c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 t="e">
        <f t="shared" si="5"/>
        <v>#DIV/0!</v>
      </c>
      <c r="AI26" s="18" t="e">
        <f t="shared" si="5"/>
        <v>#DIV/0!</v>
      </c>
      <c r="AJ26" s="18" t="e">
        <f t="shared" si="5"/>
        <v>#DIV/0!</v>
      </c>
      <c r="AK26" s="14"/>
      <c r="AL26" s="39"/>
      <c r="AM26" s="39"/>
      <c r="AN26" s="39"/>
    </row>
    <row r="27" ht="29.25" spans="1:36">
      <c r="A27" s="19" t="s">
        <v>108</v>
      </c>
      <c r="B27" s="20"/>
      <c r="C27" s="18" t="e">
        <f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e">
        <f t="shared" si="6"/>
        <v>#DIV/0!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/>
      <c r="M27" s="18" t="e">
        <f t="shared" si="6"/>
        <v>#DIV/0!</v>
      </c>
      <c r="N27" s="18" t="e">
        <f t="shared" si="6"/>
        <v>#DIV/0!</v>
      </c>
      <c r="O27" s="18" t="e">
        <f t="shared" si="6"/>
        <v>#DIV/0!</v>
      </c>
      <c r="P27" s="18" t="e">
        <f t="shared" si="6"/>
        <v>#DIV/0!</v>
      </c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18" t="e">
        <f t="shared" si="6"/>
        <v>#DIV/0!</v>
      </c>
      <c r="AE27" s="18" t="e">
        <f t="shared" si="6"/>
        <v>#DIV/0!</v>
      </c>
      <c r="AF27" s="18" t="e">
        <f t="shared" si="6"/>
        <v>#DIV/0!</v>
      </c>
      <c r="AG27" s="18" t="e">
        <f t="shared" si="6"/>
        <v>#DIV/0!</v>
      </c>
      <c r="AH27" s="18" t="e">
        <f t="shared" si="6"/>
        <v>#DIV/0!</v>
      </c>
      <c r="AI27" s="18" t="e">
        <f t="shared" si="6"/>
        <v>#DIV/0!</v>
      </c>
      <c r="AJ27" s="18" t="e">
        <f t="shared" si="6"/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R6:AU6">
    <cfRule type="expression" dxfId="0" priority="2">
      <formula>"0&lt;40"</formula>
    </cfRule>
  </conditionalFormatting>
  <conditionalFormatting sqref="C26:AJ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J27">
    <cfRule type="cellIs" dxfId="2" priority="7" operator="between">
      <formula>70</formula>
      <formula>100</formula>
    </cfRule>
  </conditionalFormatting>
  <conditionalFormatting sqref="C5:AJ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AW58"/>
  <sheetViews>
    <sheetView zoomScale="60" zoomScaleNormal="60" workbookViewId="0">
      <pane ySplit="4" topLeftCell="A5" activePane="bottomLeft" state="frozen"/>
      <selection/>
      <selection pane="bottomLeft" activeCell="R23" sqref="R23:R24"/>
    </sheetView>
  </sheetViews>
  <sheetFormatPr defaultColWidth="9" defaultRowHeight="15"/>
  <cols>
    <col min="1" max="1" width="4" style="3" customWidth="1"/>
    <col min="2" max="2" width="65.2952380952381" style="3" customWidth="1"/>
    <col min="3" max="3" width="11.0952380952381" style="3" customWidth="1"/>
    <col min="4" max="4" width="24.6952380952381" customWidth="1"/>
    <col min="5" max="5" width="18.6952380952381" customWidth="1"/>
    <col min="6" max="6" width="11.0952380952381" customWidth="1"/>
    <col min="7" max="7" width="15.6" customWidth="1"/>
    <col min="8" max="8" width="15.0952380952381" customWidth="1"/>
    <col min="9" max="9" width="11.0952380952381" customWidth="1"/>
    <col min="10" max="10" width="15.0952380952381" customWidth="1"/>
    <col min="11" max="12" width="18.6952380952381" customWidth="1"/>
    <col min="13" max="17" width="15.0952380952381" customWidth="1"/>
    <col min="18" max="18" width="11.0952380952381" customWidth="1"/>
    <col min="19" max="34" width="15.0952380952381" customWidth="1"/>
    <col min="35" max="35" width="18.6952380952381" customWidth="1"/>
    <col min="36" max="38" width="11.0952380952381" customWidth="1"/>
    <col min="39" max="39" width="24.6952380952381" customWidth="1"/>
    <col min="40" max="40" width="14.6" customWidth="1"/>
    <col min="41" max="41" width="20.0952380952381" customWidth="1"/>
    <col min="42" max="42" width="16.2952380952381" customWidth="1"/>
    <col min="43" max="43" width="9.09523809523809" customWidth="1"/>
    <col min="44" max="44" width="0.295238095238095" customWidth="1"/>
    <col min="45" max="45" width="16.6952380952381" customWidth="1"/>
    <col min="46" max="46" width="16" customWidth="1"/>
    <col min="47" max="47" width="15.2952380952381" customWidth="1"/>
    <col min="48" max="48" width="15.6" customWidth="1"/>
    <col min="49" max="49" width="16" customWidth="1"/>
  </cols>
  <sheetData>
    <row r="3" ht="50.25" customHeight="1" spans="1:42">
      <c r="A3" s="4" t="s">
        <v>15</v>
      </c>
      <c r="B3" s="5" t="s">
        <v>16</v>
      </c>
      <c r="C3" s="5">
        <v>1</v>
      </c>
      <c r="D3" s="6">
        <v>2</v>
      </c>
      <c r="E3" s="6" t="s">
        <v>17</v>
      </c>
      <c r="F3" s="6" t="s">
        <v>18</v>
      </c>
      <c r="G3" s="6">
        <v>4</v>
      </c>
      <c r="H3" s="6" t="s">
        <v>102</v>
      </c>
      <c r="I3" s="6" t="s">
        <v>103</v>
      </c>
      <c r="J3" s="6">
        <v>6</v>
      </c>
      <c r="K3" s="6">
        <v>7</v>
      </c>
      <c r="L3" s="6">
        <v>8</v>
      </c>
      <c r="M3" s="6">
        <v>9</v>
      </c>
      <c r="N3" s="6">
        <v>10</v>
      </c>
      <c r="O3" s="6">
        <v>11</v>
      </c>
      <c r="P3" s="6">
        <v>12</v>
      </c>
      <c r="Q3" s="6">
        <v>13</v>
      </c>
      <c r="R3" s="6" t="s">
        <v>115</v>
      </c>
      <c r="S3" s="6" t="s">
        <v>89</v>
      </c>
      <c r="T3" s="6" t="s">
        <v>55</v>
      </c>
      <c r="U3" s="6" t="s">
        <v>56</v>
      </c>
      <c r="V3" s="6" t="s">
        <v>27</v>
      </c>
      <c r="W3" s="6" t="s">
        <v>28</v>
      </c>
      <c r="X3" s="6" t="s">
        <v>29</v>
      </c>
      <c r="Y3" s="6" t="s">
        <v>30</v>
      </c>
      <c r="Z3" s="6" t="s">
        <v>109</v>
      </c>
      <c r="AA3" s="6" t="s">
        <v>110</v>
      </c>
      <c r="AB3" s="6">
        <v>19</v>
      </c>
      <c r="AC3" s="6">
        <v>20</v>
      </c>
      <c r="AD3" s="6" t="s">
        <v>58</v>
      </c>
      <c r="AE3" s="6" t="s">
        <v>59</v>
      </c>
      <c r="AF3" s="6" t="s">
        <v>60</v>
      </c>
      <c r="AG3" s="6" t="s">
        <v>116</v>
      </c>
      <c r="AH3" s="6">
        <v>22</v>
      </c>
      <c r="AI3" s="6">
        <v>23</v>
      </c>
      <c r="AJ3" s="6">
        <v>24</v>
      </c>
      <c r="AK3" s="6" t="s">
        <v>117</v>
      </c>
      <c r="AL3" s="6" t="s">
        <v>118</v>
      </c>
      <c r="AM3" s="6" t="s">
        <v>33</v>
      </c>
      <c r="AN3" s="29" t="s">
        <v>34</v>
      </c>
      <c r="AO3" s="30" t="s">
        <v>35</v>
      </c>
      <c r="AP3" s="31" t="s">
        <v>36</v>
      </c>
    </row>
    <row r="4" ht="69" customHeight="1" spans="1:49">
      <c r="A4" s="7"/>
      <c r="B4" s="8" t="s">
        <v>37</v>
      </c>
      <c r="C4" s="9">
        <v>1</v>
      </c>
      <c r="D4" s="9">
        <v>2</v>
      </c>
      <c r="E4" s="9">
        <v>1</v>
      </c>
      <c r="F4" s="11">
        <v>1</v>
      </c>
      <c r="G4" s="21">
        <v>1</v>
      </c>
      <c r="H4" s="21">
        <v>1</v>
      </c>
      <c r="I4" s="21">
        <v>1</v>
      </c>
      <c r="J4" s="21">
        <v>1</v>
      </c>
      <c r="K4" s="9">
        <v>2</v>
      </c>
      <c r="L4" s="21">
        <v>2</v>
      </c>
      <c r="M4" s="9">
        <v>1</v>
      </c>
      <c r="N4" s="21">
        <v>1</v>
      </c>
      <c r="O4" s="11">
        <v>1</v>
      </c>
      <c r="P4" s="24">
        <v>1</v>
      </c>
      <c r="Q4" s="22">
        <v>1</v>
      </c>
      <c r="R4" s="23">
        <v>1</v>
      </c>
      <c r="S4" s="23">
        <v>1</v>
      </c>
      <c r="T4" s="24">
        <v>1</v>
      </c>
      <c r="U4" s="23">
        <v>1</v>
      </c>
      <c r="V4" s="22">
        <v>1</v>
      </c>
      <c r="W4" s="24">
        <v>1</v>
      </c>
      <c r="X4" s="22">
        <v>1</v>
      </c>
      <c r="Y4" s="22">
        <v>1</v>
      </c>
      <c r="Z4" s="23">
        <v>1</v>
      </c>
      <c r="AA4" s="23">
        <v>1</v>
      </c>
      <c r="AB4" s="24">
        <v>1</v>
      </c>
      <c r="AC4" s="33">
        <v>1</v>
      </c>
      <c r="AD4" s="34">
        <v>1</v>
      </c>
      <c r="AE4" s="33">
        <v>1</v>
      </c>
      <c r="AF4" s="34">
        <v>1</v>
      </c>
      <c r="AG4" s="33">
        <v>1</v>
      </c>
      <c r="AH4" s="34">
        <v>1</v>
      </c>
      <c r="AI4" s="34">
        <v>1</v>
      </c>
      <c r="AJ4" s="33">
        <v>2</v>
      </c>
      <c r="AK4" s="45">
        <v>1</v>
      </c>
      <c r="AL4" s="45">
        <v>1</v>
      </c>
      <c r="AM4" s="34">
        <f>SUM(C4:AL4)</f>
        <v>40</v>
      </c>
      <c r="AN4" s="11">
        <f>AL4+AK4+AB4+W4+T4+P4+O4+F4</f>
        <v>8</v>
      </c>
      <c r="AO4" s="21">
        <f>AJ4+AG4+AE4+AC4+Y4+X4+V4+Q4+N4+L4+J4+I4+H4+G4</f>
        <v>16</v>
      </c>
      <c r="AP4" s="9">
        <f>AI4+AH4+AF4+AD4+AA4+Z4+U4+S4+R4+M4+K4+E4+D4+C4</f>
        <v>16</v>
      </c>
      <c r="AS4" s="40" t="s">
        <v>38</v>
      </c>
      <c r="AT4" s="11" t="s">
        <v>39</v>
      </c>
      <c r="AU4" s="9" t="s">
        <v>40</v>
      </c>
      <c r="AV4" s="41" t="s">
        <v>41</v>
      </c>
      <c r="AW4" s="21" t="s">
        <v>42</v>
      </c>
    </row>
    <row r="5" ht="27.75" spans="1:49">
      <c r="A5" s="12">
        <v>1</v>
      </c>
      <c r="B5" s="13"/>
      <c r="C5" s="13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27"/>
      <c r="AK5" s="27"/>
      <c r="AL5" s="27"/>
      <c r="AM5" s="34">
        <f t="shared" ref="AM5:AM24" si="0">SUM(D5:AJ5)</f>
        <v>0</v>
      </c>
      <c r="AN5" s="11">
        <f t="shared" ref="AN5:AN24" si="1">AJ5+AD5+X5+Q5+N5+G5+E5</f>
        <v>0</v>
      </c>
      <c r="AO5" s="21">
        <f t="shared" ref="AO5:AO24" si="2">AI5+AH5+AC5+AB5+Z5+Y5+V5+S5+P5+O5+K5+J5+H5</f>
        <v>0</v>
      </c>
      <c r="AP5" s="9">
        <f t="shared" ref="AP5:AP24" si="3">AG5+AF5+AE5+AA5+W5+U5+T5+R5+M5+L5+D5</f>
        <v>0</v>
      </c>
      <c r="AS5" s="42" t="s">
        <v>43</v>
      </c>
      <c r="AT5" s="11" t="s">
        <v>44</v>
      </c>
      <c r="AU5" s="9" t="s">
        <v>45</v>
      </c>
      <c r="AV5" s="41" t="s">
        <v>46</v>
      </c>
      <c r="AW5" s="21" t="s">
        <v>47</v>
      </c>
    </row>
    <row r="6" ht="27.75" spans="1:49">
      <c r="A6" s="12">
        <v>2</v>
      </c>
      <c r="B6" s="13"/>
      <c r="C6" s="13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27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27"/>
      <c r="AL6" s="27"/>
      <c r="AM6" s="34">
        <f t="shared" si="0"/>
        <v>0</v>
      </c>
      <c r="AN6" s="11">
        <f t="shared" si="1"/>
        <v>0</v>
      </c>
      <c r="AO6" s="21">
        <f t="shared" si="2"/>
        <v>0</v>
      </c>
      <c r="AP6" s="9">
        <f t="shared" si="3"/>
        <v>0</v>
      </c>
      <c r="AS6">
        <v>71</v>
      </c>
      <c r="AT6">
        <v>71</v>
      </c>
      <c r="AU6">
        <v>71</v>
      </c>
      <c r="AV6">
        <v>71</v>
      </c>
      <c r="AW6">
        <v>71</v>
      </c>
    </row>
    <row r="7" ht="27.75" spans="1:42">
      <c r="A7" s="12">
        <v>3</v>
      </c>
      <c r="B7" s="13"/>
      <c r="C7" s="13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34">
        <f t="shared" si="0"/>
        <v>0</v>
      </c>
      <c r="AN7" s="11">
        <f t="shared" si="1"/>
        <v>0</v>
      </c>
      <c r="AO7" s="21">
        <f t="shared" si="2"/>
        <v>0</v>
      </c>
      <c r="AP7" s="9">
        <f t="shared" si="3"/>
        <v>0</v>
      </c>
    </row>
    <row r="8" ht="27.75" spans="1:42">
      <c r="A8" s="12">
        <v>4</v>
      </c>
      <c r="B8" s="13"/>
      <c r="C8" s="13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34">
        <f t="shared" si="0"/>
        <v>0</v>
      </c>
      <c r="AN8" s="11">
        <f t="shared" si="1"/>
        <v>0</v>
      </c>
      <c r="AO8" s="21">
        <f t="shared" si="2"/>
        <v>0</v>
      </c>
      <c r="AP8" s="9">
        <f t="shared" si="3"/>
        <v>0</v>
      </c>
    </row>
    <row r="9" ht="27.75" spans="1:42">
      <c r="A9" s="12">
        <v>5</v>
      </c>
      <c r="B9" s="13"/>
      <c r="C9" s="13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27"/>
      <c r="AL9" s="27"/>
      <c r="AM9" s="34">
        <f t="shared" si="0"/>
        <v>0</v>
      </c>
      <c r="AN9" s="11">
        <f t="shared" si="1"/>
        <v>0</v>
      </c>
      <c r="AO9" s="21">
        <f t="shared" si="2"/>
        <v>0</v>
      </c>
      <c r="AP9" s="9">
        <f t="shared" si="3"/>
        <v>0</v>
      </c>
    </row>
    <row r="10" ht="27.75" spans="1:42">
      <c r="A10" s="12">
        <v>6</v>
      </c>
      <c r="B10" s="13"/>
      <c r="C10" s="13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27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27"/>
      <c r="AL10" s="27"/>
      <c r="AM10" s="34">
        <f t="shared" si="0"/>
        <v>0</v>
      </c>
      <c r="AN10" s="11">
        <f t="shared" si="1"/>
        <v>0</v>
      </c>
      <c r="AO10" s="21">
        <f t="shared" si="2"/>
        <v>0</v>
      </c>
      <c r="AP10" s="9">
        <f t="shared" si="3"/>
        <v>0</v>
      </c>
    </row>
    <row r="11" ht="27.75" spans="1:42">
      <c r="A11" s="12">
        <v>7</v>
      </c>
      <c r="B11" s="13"/>
      <c r="C11" s="13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27"/>
      <c r="AL11" s="27"/>
      <c r="AM11" s="34">
        <f t="shared" si="0"/>
        <v>0</v>
      </c>
      <c r="AN11" s="11">
        <f t="shared" si="1"/>
        <v>0</v>
      </c>
      <c r="AO11" s="21">
        <f t="shared" si="2"/>
        <v>0</v>
      </c>
      <c r="AP11" s="9">
        <f t="shared" si="3"/>
        <v>0</v>
      </c>
    </row>
    <row r="12" ht="27.75" spans="1:42">
      <c r="A12" s="12">
        <v>8</v>
      </c>
      <c r="B12" s="13"/>
      <c r="C12" s="13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27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27"/>
      <c r="AL12" s="27"/>
      <c r="AM12" s="34">
        <f t="shared" si="0"/>
        <v>0</v>
      </c>
      <c r="AN12" s="11">
        <f t="shared" si="1"/>
        <v>0</v>
      </c>
      <c r="AO12" s="21">
        <f t="shared" si="2"/>
        <v>0</v>
      </c>
      <c r="AP12" s="9">
        <f t="shared" si="3"/>
        <v>0</v>
      </c>
    </row>
    <row r="13" ht="27.75" spans="1:42">
      <c r="A13" s="12">
        <v>9</v>
      </c>
      <c r="B13" s="13"/>
      <c r="C13" s="13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27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27"/>
      <c r="AL13" s="27"/>
      <c r="AM13" s="34">
        <f t="shared" si="0"/>
        <v>0</v>
      </c>
      <c r="AN13" s="11">
        <f t="shared" si="1"/>
        <v>0</v>
      </c>
      <c r="AO13" s="21">
        <f t="shared" si="2"/>
        <v>0</v>
      </c>
      <c r="AP13" s="9">
        <f t="shared" si="3"/>
        <v>0</v>
      </c>
    </row>
    <row r="14" ht="27.75" spans="1:42">
      <c r="A14" s="12">
        <v>10</v>
      </c>
      <c r="B14" s="13"/>
      <c r="C14" s="13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27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34">
        <f t="shared" si="0"/>
        <v>0</v>
      </c>
      <c r="AN14" s="11">
        <f t="shared" si="1"/>
        <v>0</v>
      </c>
      <c r="AO14" s="21">
        <f t="shared" si="2"/>
        <v>0</v>
      </c>
      <c r="AP14" s="9">
        <f t="shared" si="3"/>
        <v>0</v>
      </c>
    </row>
    <row r="15" ht="27.75" spans="1:42">
      <c r="A15" s="12">
        <v>11</v>
      </c>
      <c r="B15" s="13"/>
      <c r="C15" s="13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27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34">
        <f t="shared" si="0"/>
        <v>0</v>
      </c>
      <c r="AN15" s="11">
        <f t="shared" si="1"/>
        <v>0</v>
      </c>
      <c r="AO15" s="21">
        <f t="shared" si="2"/>
        <v>0</v>
      </c>
      <c r="AP15" s="9">
        <f t="shared" si="3"/>
        <v>0</v>
      </c>
    </row>
    <row r="16" ht="27.75" spans="1:42">
      <c r="A16" s="12">
        <v>12</v>
      </c>
      <c r="B16" s="13"/>
      <c r="C16" s="13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34">
        <f t="shared" si="0"/>
        <v>0</v>
      </c>
      <c r="AN16" s="11">
        <f t="shared" si="1"/>
        <v>0</v>
      </c>
      <c r="AO16" s="21">
        <f t="shared" si="2"/>
        <v>0</v>
      </c>
      <c r="AP16" s="9">
        <f t="shared" si="3"/>
        <v>0</v>
      </c>
    </row>
    <row r="17" ht="27.75" spans="1:42">
      <c r="A17" s="12">
        <v>13</v>
      </c>
      <c r="B17" s="13"/>
      <c r="C17" s="13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34">
        <f t="shared" si="0"/>
        <v>0</v>
      </c>
      <c r="AN17" s="11">
        <f t="shared" si="1"/>
        <v>0</v>
      </c>
      <c r="AO17" s="21">
        <f t="shared" si="2"/>
        <v>0</v>
      </c>
      <c r="AP17" s="9">
        <f t="shared" si="3"/>
        <v>0</v>
      </c>
    </row>
    <row r="18" ht="27.75" spans="1:42">
      <c r="A18" s="12">
        <v>14</v>
      </c>
      <c r="B18" s="13"/>
      <c r="C18" s="13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34">
        <f t="shared" si="0"/>
        <v>0</v>
      </c>
      <c r="AN18" s="11">
        <f t="shared" si="1"/>
        <v>0</v>
      </c>
      <c r="AO18" s="21">
        <f t="shared" si="2"/>
        <v>0</v>
      </c>
      <c r="AP18" s="9">
        <f t="shared" si="3"/>
        <v>0</v>
      </c>
    </row>
    <row r="19" ht="27.75" spans="1:42">
      <c r="A19" s="12">
        <v>15</v>
      </c>
      <c r="B19" s="13"/>
      <c r="C19" s="13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34">
        <f t="shared" si="0"/>
        <v>0</v>
      </c>
      <c r="AN19" s="11">
        <f t="shared" si="1"/>
        <v>0</v>
      </c>
      <c r="AO19" s="21">
        <f t="shared" si="2"/>
        <v>0</v>
      </c>
      <c r="AP19" s="9">
        <f t="shared" si="3"/>
        <v>0</v>
      </c>
    </row>
    <row r="20" ht="27.75" spans="1:42">
      <c r="A20" s="12">
        <v>16</v>
      </c>
      <c r="B20" s="13"/>
      <c r="C20" s="13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34">
        <f t="shared" si="0"/>
        <v>0</v>
      </c>
      <c r="AN20" s="11">
        <f t="shared" si="1"/>
        <v>0</v>
      </c>
      <c r="AO20" s="21">
        <f t="shared" si="2"/>
        <v>0</v>
      </c>
      <c r="AP20" s="9">
        <f t="shared" si="3"/>
        <v>0</v>
      </c>
    </row>
    <row r="21" ht="27.75" spans="1:42">
      <c r="A21" s="12">
        <v>17</v>
      </c>
      <c r="B21" s="13"/>
      <c r="C21" s="13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34">
        <f t="shared" si="0"/>
        <v>0</v>
      </c>
      <c r="AN21" s="11">
        <f t="shared" si="1"/>
        <v>0</v>
      </c>
      <c r="AO21" s="21">
        <f t="shared" si="2"/>
        <v>0</v>
      </c>
      <c r="AP21" s="9">
        <f t="shared" si="3"/>
        <v>0</v>
      </c>
    </row>
    <row r="22" ht="27.75" spans="1:42">
      <c r="A22" s="12">
        <v>18</v>
      </c>
      <c r="B22" s="13"/>
      <c r="C22" s="13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34">
        <f t="shared" si="0"/>
        <v>0</v>
      </c>
      <c r="AN22" s="11">
        <f t="shared" si="1"/>
        <v>0</v>
      </c>
      <c r="AO22" s="21">
        <f t="shared" si="2"/>
        <v>0</v>
      </c>
      <c r="AP22" s="9">
        <f t="shared" si="3"/>
        <v>0</v>
      </c>
    </row>
    <row r="23" ht="27.75" spans="1:42">
      <c r="A23" s="12">
        <v>19</v>
      </c>
      <c r="B23" s="13"/>
      <c r="C23" s="13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34">
        <f t="shared" si="0"/>
        <v>0</v>
      </c>
      <c r="AN23" s="11">
        <f t="shared" si="1"/>
        <v>0</v>
      </c>
      <c r="AO23" s="21">
        <f t="shared" si="2"/>
        <v>0</v>
      </c>
      <c r="AP23" s="9">
        <f t="shared" si="3"/>
        <v>0</v>
      </c>
    </row>
    <row r="24" ht="27.75" spans="1:42">
      <c r="A24" s="12">
        <v>20</v>
      </c>
      <c r="B24" s="13"/>
      <c r="C24" s="13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34">
        <f t="shared" si="0"/>
        <v>0</v>
      </c>
      <c r="AN24" s="11">
        <f t="shared" si="1"/>
        <v>0</v>
      </c>
      <c r="AO24" s="21">
        <f t="shared" si="2"/>
        <v>0</v>
      </c>
      <c r="AP24" s="9">
        <f t="shared" si="3"/>
        <v>0</v>
      </c>
    </row>
    <row r="25" ht="28.5" spans="1:42">
      <c r="A25" s="15" t="s">
        <v>48</v>
      </c>
      <c r="B25" s="16"/>
      <c r="C25" s="17" t="e">
        <f t="shared" ref="C25:AM25" si="4">AVERAGE(C5:C24)</f>
        <v>#DIV/0!</v>
      </c>
      <c r="D25" s="17" t="e">
        <f t="shared" si="4"/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 t="e">
        <f t="shared" si="4"/>
        <v>#DIV/0!</v>
      </c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 t="e">
        <f t="shared" si="4"/>
        <v>#DIV/0!</v>
      </c>
      <c r="M25" s="17" t="e">
        <f t="shared" si="4"/>
        <v>#DIV/0!</v>
      </c>
      <c r="N25" s="17" t="e">
        <f t="shared" si="4"/>
        <v>#DIV/0!</v>
      </c>
      <c r="O25" s="17" t="e">
        <f t="shared" si="4"/>
        <v>#DIV/0!</v>
      </c>
      <c r="P25" s="17" t="e">
        <f t="shared" si="4"/>
        <v>#DIV/0!</v>
      </c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 t="e">
        <f t="shared" si="4"/>
        <v>#DIV/0!</v>
      </c>
      <c r="AI25" s="17" t="e">
        <f t="shared" si="4"/>
        <v>#DIV/0!</v>
      </c>
      <c r="AJ25" s="17" t="e">
        <f t="shared" si="4"/>
        <v>#DIV/0!</v>
      </c>
      <c r="AK25" s="17" t="e">
        <f t="shared" si="4"/>
        <v>#DIV/0!</v>
      </c>
      <c r="AL25" s="17" t="e">
        <f t="shared" si="4"/>
        <v>#DIV/0!</v>
      </c>
      <c r="AM25" s="17">
        <f t="shared" si="4"/>
        <v>0</v>
      </c>
      <c r="AN25" s="39">
        <f>SUM(AN5:AN24)</f>
        <v>0</v>
      </c>
      <c r="AO25" s="39">
        <f>SUM(AO5:AO24)</f>
        <v>0</v>
      </c>
      <c r="AP25" s="39">
        <f>SUM(AP5:AP24)</f>
        <v>0</v>
      </c>
    </row>
    <row r="26" ht="51.75" customHeight="1" spans="1:42">
      <c r="A26" s="15"/>
      <c r="B26" s="16" t="s">
        <v>49</v>
      </c>
      <c r="C26" s="18" t="e">
        <f t="shared" ref="C26:AM26" si="5">C25/C4*100</f>
        <v>#DIV/0!</v>
      </c>
      <c r="D26" s="18" t="e">
        <f t="shared" si="5"/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 t="e">
        <f t="shared" si="5"/>
        <v>#DIV/0!</v>
      </c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 t="e">
        <f t="shared" si="5"/>
        <v>#DIV/0!</v>
      </c>
      <c r="M26" s="18" t="e">
        <f t="shared" si="5"/>
        <v>#DIV/0!</v>
      </c>
      <c r="N26" s="18" t="e">
        <f t="shared" si="5"/>
        <v>#DIV/0!</v>
      </c>
      <c r="O26" s="18" t="e">
        <f t="shared" si="5"/>
        <v>#DIV/0!</v>
      </c>
      <c r="P26" s="18" t="e">
        <f t="shared" si="5"/>
        <v>#DIV/0!</v>
      </c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 t="e">
        <f t="shared" si="5"/>
        <v>#DIV/0!</v>
      </c>
      <c r="AI26" s="18" t="e">
        <f t="shared" si="5"/>
        <v>#DIV/0!</v>
      </c>
      <c r="AJ26" s="18" t="e">
        <f t="shared" si="5"/>
        <v>#DIV/0!</v>
      </c>
      <c r="AK26" s="18" t="e">
        <f t="shared" si="5"/>
        <v>#DIV/0!</v>
      </c>
      <c r="AL26" s="18" t="e">
        <f t="shared" si="5"/>
        <v>#DIV/0!</v>
      </c>
      <c r="AM26" s="18">
        <f t="shared" si="5"/>
        <v>0</v>
      </c>
      <c r="AN26" s="39"/>
      <c r="AO26" s="39"/>
      <c r="AP26" s="39"/>
    </row>
    <row r="27" ht="29.25" spans="1:39">
      <c r="A27" s="19" t="s">
        <v>108</v>
      </c>
      <c r="B27" s="20"/>
      <c r="C27" s="18" t="e">
        <f t="shared" ref="C27:AM27" si="6"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si="6"/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e">
        <f t="shared" si="6"/>
        <v>#DIV/0!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 t="e">
        <f t="shared" si="6"/>
        <v>#DIV/0!</v>
      </c>
      <c r="M27" s="18" t="e">
        <f t="shared" si="6"/>
        <v>#DIV/0!</v>
      </c>
      <c r="N27" s="18" t="e">
        <f t="shared" si="6"/>
        <v>#DIV/0!</v>
      </c>
      <c r="O27" s="18" t="e">
        <f t="shared" si="6"/>
        <v>#DIV/0!</v>
      </c>
      <c r="P27" s="18" t="e">
        <f t="shared" si="6"/>
        <v>#DIV/0!</v>
      </c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18" t="e">
        <f t="shared" si="6"/>
        <v>#DIV/0!</v>
      </c>
      <c r="AE27" s="18" t="e">
        <f t="shared" si="6"/>
        <v>#DIV/0!</v>
      </c>
      <c r="AF27" s="18" t="e">
        <f t="shared" si="6"/>
        <v>#DIV/0!</v>
      </c>
      <c r="AG27" s="18" t="e">
        <f t="shared" si="6"/>
        <v>#DIV/0!</v>
      </c>
      <c r="AH27" s="18" t="e">
        <f t="shared" si="6"/>
        <v>#DIV/0!</v>
      </c>
      <c r="AI27" s="18" t="e">
        <f t="shared" si="6"/>
        <v>#DIV/0!</v>
      </c>
      <c r="AJ27" s="18" t="e">
        <f t="shared" si="6"/>
        <v>#DIV/0!</v>
      </c>
      <c r="AK27" s="18" t="e">
        <f t="shared" si="6"/>
        <v>#DIV/0!</v>
      </c>
      <c r="AL27" s="18" t="e">
        <f t="shared" si="6"/>
        <v>#DIV/0!</v>
      </c>
      <c r="AM27" s="18" t="str">
        <f t="shared" si="6"/>
        <v> يحتاج الى تدخل سريع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T6:AW6">
    <cfRule type="expression" dxfId="0" priority="2">
      <formula>"0&lt;40"</formula>
    </cfRule>
  </conditionalFormatting>
  <conditionalFormatting sqref="C26:AM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M27">
    <cfRule type="cellIs" dxfId="2" priority="7" operator="between">
      <formula>70</formula>
      <formula>100</formula>
    </cfRule>
  </conditionalFormatting>
  <conditionalFormatting sqref="D5:AL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NOT(ISERROR(SEARCH("0",D5)))</formula>
    </cfRule>
    <cfRule type="containsText" dxfId="9" priority="11" operator="between" text="0">
      <formula>NOT(ISERROR(SEARCH("0",D5)))</formula>
    </cfRule>
    <cfRule type="containsText" dxfId="10" priority="12" operator="between" text="1">
      <formula>NOT(ISERROR(SEARCH("1",D5)))</formula>
    </cfRule>
    <cfRule type="containsText" dxfId="11" priority="13" operator="between" text="0">
      <formula>NOT(ISERROR(SEARCH("0",D5)))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B0F0"/>
  </sheetPr>
  <dimension ref="A3:AT58"/>
  <sheetViews>
    <sheetView zoomScale="50" zoomScaleNormal="50" workbookViewId="0">
      <pane ySplit="4" topLeftCell="A5" activePane="bottomLeft" state="frozen"/>
      <selection/>
      <selection pane="bottomLeft" activeCell="C5" sqref="C5:AH22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4" width="11.0952380952381" customWidth="1"/>
    <col min="5" max="5" width="14.6" customWidth="1"/>
    <col min="6" max="35" width="10.2952380952381" customWidth="1"/>
    <col min="36" max="36" width="13" customWidth="1"/>
    <col min="37" max="37" width="14.6" customWidth="1"/>
    <col min="38" max="38" width="20.0952380952381" customWidth="1"/>
    <col min="39" max="39" width="16.2952380952381" customWidth="1"/>
    <col min="40" max="40" width="9.09523809523809" customWidth="1"/>
    <col min="41" max="41" width="0.295238095238095" customWidth="1"/>
    <col min="42" max="42" width="16.6952380952381" customWidth="1"/>
    <col min="43" max="43" width="16" customWidth="1"/>
    <col min="44" max="44" width="15.2952380952381" customWidth="1"/>
    <col min="45" max="45" width="15.6" customWidth="1"/>
    <col min="46" max="46" width="16" customWidth="1"/>
  </cols>
  <sheetData>
    <row r="3" ht="50.25" customHeight="1" spans="1:39">
      <c r="A3" s="4" t="s">
        <v>15</v>
      </c>
      <c r="B3" s="5" t="s">
        <v>16</v>
      </c>
      <c r="C3" s="6">
        <v>1</v>
      </c>
      <c r="D3" s="6" t="s">
        <v>106</v>
      </c>
      <c r="E3" s="6" t="s">
        <v>83</v>
      </c>
      <c r="F3" s="6" t="s">
        <v>119</v>
      </c>
      <c r="G3" s="6">
        <v>3</v>
      </c>
      <c r="H3" s="6">
        <v>4</v>
      </c>
      <c r="I3" s="6" t="s">
        <v>102</v>
      </c>
      <c r="J3" s="6" t="s">
        <v>103</v>
      </c>
      <c r="K3" s="6" t="s">
        <v>120</v>
      </c>
      <c r="L3" s="6">
        <v>6</v>
      </c>
      <c r="M3" s="6">
        <v>7</v>
      </c>
      <c r="N3" s="6" t="s">
        <v>72</v>
      </c>
      <c r="O3" s="6" t="s">
        <v>73</v>
      </c>
      <c r="P3" s="6" t="s">
        <v>74</v>
      </c>
      <c r="Q3" s="6">
        <v>9</v>
      </c>
      <c r="R3" s="6">
        <v>10</v>
      </c>
      <c r="S3" s="6" t="s">
        <v>23</v>
      </c>
      <c r="T3" s="6" t="s">
        <v>24</v>
      </c>
      <c r="U3" s="6" t="s">
        <v>77</v>
      </c>
      <c r="V3" s="6">
        <v>12</v>
      </c>
      <c r="W3" s="6">
        <v>13</v>
      </c>
      <c r="X3" s="6" t="s">
        <v>115</v>
      </c>
      <c r="Y3" s="6" t="s">
        <v>89</v>
      </c>
      <c r="Z3" s="6" t="s">
        <v>121</v>
      </c>
      <c r="AA3" s="6">
        <v>15</v>
      </c>
      <c r="AB3" s="6">
        <v>16</v>
      </c>
      <c r="AC3" s="6">
        <v>17</v>
      </c>
      <c r="AD3" s="6">
        <v>18</v>
      </c>
      <c r="AE3" s="6" t="s">
        <v>31</v>
      </c>
      <c r="AF3" s="6" t="s">
        <v>32</v>
      </c>
      <c r="AG3" s="6" t="s">
        <v>122</v>
      </c>
      <c r="AH3" s="6" t="s">
        <v>123</v>
      </c>
      <c r="AI3" s="44" t="s">
        <v>124</v>
      </c>
      <c r="AJ3" s="28" t="s">
        <v>33</v>
      </c>
      <c r="AK3" s="29" t="s">
        <v>34</v>
      </c>
      <c r="AL3" s="30" t="s">
        <v>35</v>
      </c>
      <c r="AM3" s="31" t="s">
        <v>36</v>
      </c>
    </row>
    <row r="4" ht="69" customHeight="1" spans="1:46">
      <c r="A4" s="7"/>
      <c r="B4" s="8" t="s">
        <v>37</v>
      </c>
      <c r="C4" s="21">
        <v>1</v>
      </c>
      <c r="D4" s="11">
        <v>1</v>
      </c>
      <c r="E4" s="21">
        <v>1</v>
      </c>
      <c r="F4" s="11">
        <v>1</v>
      </c>
      <c r="G4" s="9">
        <v>3</v>
      </c>
      <c r="H4" s="9">
        <v>1</v>
      </c>
      <c r="I4" s="21">
        <v>1</v>
      </c>
      <c r="J4" s="21">
        <v>1</v>
      </c>
      <c r="K4" s="21">
        <v>1</v>
      </c>
      <c r="L4" s="9">
        <v>1</v>
      </c>
      <c r="M4" s="9">
        <v>1</v>
      </c>
      <c r="N4" s="9">
        <v>1</v>
      </c>
      <c r="O4" s="11">
        <v>1</v>
      </c>
      <c r="P4" s="11">
        <v>1</v>
      </c>
      <c r="Q4" s="22">
        <v>2</v>
      </c>
      <c r="R4" s="23">
        <v>1</v>
      </c>
      <c r="S4" s="22">
        <v>1</v>
      </c>
      <c r="T4" s="22">
        <v>1</v>
      </c>
      <c r="U4" s="24">
        <v>1</v>
      </c>
      <c r="V4" s="24">
        <v>1</v>
      </c>
      <c r="W4" s="23">
        <v>1</v>
      </c>
      <c r="X4" s="22">
        <v>1</v>
      </c>
      <c r="Y4" s="22">
        <v>1</v>
      </c>
      <c r="Z4" s="24">
        <v>1</v>
      </c>
      <c r="AA4" s="22">
        <v>2</v>
      </c>
      <c r="AB4" s="23">
        <v>3</v>
      </c>
      <c r="AC4" s="23">
        <v>1</v>
      </c>
      <c r="AD4" s="23">
        <v>1</v>
      </c>
      <c r="AE4" s="34">
        <v>2</v>
      </c>
      <c r="AF4" s="33">
        <v>1</v>
      </c>
      <c r="AG4" s="45">
        <v>1</v>
      </c>
      <c r="AH4" s="33">
        <v>1</v>
      </c>
      <c r="AI4" s="33">
        <v>1</v>
      </c>
      <c r="AJ4" s="34">
        <f>SUM(C4:AI4)</f>
        <v>40</v>
      </c>
      <c r="AK4" s="11">
        <f>AG4+Z4+V4+U4+P4+O4+F4+D4</f>
        <v>8</v>
      </c>
      <c r="AL4" s="43">
        <f>AI4+AH4+AF4+AA4+Y4+X4+T4+S4+Q4+K4+J4+I4+E4+C4</f>
        <v>16</v>
      </c>
      <c r="AM4" s="9">
        <f>AE4+AD4+AC4+AB4+W4+R4+N4+M4+L4+H4+G4</f>
        <v>16</v>
      </c>
      <c r="AP4" s="40" t="s">
        <v>38</v>
      </c>
      <c r="AQ4" s="11" t="s">
        <v>39</v>
      </c>
      <c r="AR4" s="9" t="s">
        <v>40</v>
      </c>
      <c r="AS4" s="41" t="s">
        <v>41</v>
      </c>
      <c r="AT4" s="21" t="s">
        <v>42</v>
      </c>
    </row>
    <row r="5" ht="27.75" spans="1:46">
      <c r="A5" s="12">
        <v>1</v>
      </c>
      <c r="B5" s="13"/>
      <c r="C5" s="14"/>
      <c r="D5" s="14"/>
      <c r="E5" s="14"/>
      <c r="F5" s="14"/>
      <c r="G5" s="14"/>
      <c r="H5" s="14"/>
      <c r="I5" s="14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27"/>
      <c r="Z5" s="27"/>
      <c r="AA5" s="27"/>
      <c r="AB5" s="27"/>
      <c r="AC5" s="27"/>
      <c r="AD5" s="27"/>
      <c r="AE5" s="27"/>
      <c r="AF5" s="27"/>
      <c r="AG5" s="27"/>
      <c r="AH5" s="27"/>
      <c r="AI5" s="27"/>
      <c r="AJ5" s="34">
        <f t="shared" ref="AJ5:AK25" si="0">SUM(C5:AI5)</f>
        <v>0</v>
      </c>
      <c r="AK5" s="11">
        <f t="shared" ref="AK5:AK24" si="1">AG5+Z5+V5+U5+P5+O5+F5+D5</f>
        <v>0</v>
      </c>
      <c r="AL5" s="43">
        <f t="shared" ref="AL5:AL24" si="2">AI5+AH5+AF5+AA5+Y5+X5+T5+S5+Q5+K5+J5+I5+E5+C5</f>
        <v>0</v>
      </c>
      <c r="AM5" s="9">
        <f t="shared" ref="AM5:AM24" si="3">AE5+AD5+AC5+AB5+W5+R5+N5+M5+L5+H5+G5</f>
        <v>0</v>
      </c>
      <c r="AP5" s="42" t="s">
        <v>43</v>
      </c>
      <c r="AQ5" s="11" t="s">
        <v>44</v>
      </c>
      <c r="AR5" s="9" t="s">
        <v>45</v>
      </c>
      <c r="AS5" s="41" t="s">
        <v>46</v>
      </c>
      <c r="AT5" s="21" t="s">
        <v>47</v>
      </c>
    </row>
    <row r="6" ht="27.75" spans="1:46">
      <c r="A6" s="12">
        <v>2</v>
      </c>
      <c r="B6" s="13"/>
      <c r="C6" s="14"/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34">
        <f t="shared" si="0"/>
        <v>0</v>
      </c>
      <c r="AK6" s="11">
        <f t="shared" si="1"/>
        <v>0</v>
      </c>
      <c r="AL6" s="43">
        <f t="shared" si="2"/>
        <v>0</v>
      </c>
      <c r="AM6" s="9">
        <f t="shared" si="3"/>
        <v>0</v>
      </c>
      <c r="AP6">
        <v>71</v>
      </c>
      <c r="AQ6">
        <v>71</v>
      </c>
      <c r="AR6">
        <v>71</v>
      </c>
      <c r="AS6">
        <v>71</v>
      </c>
      <c r="AT6">
        <v>71</v>
      </c>
    </row>
    <row r="7" ht="27.75" spans="1:39">
      <c r="A7" s="12">
        <v>3</v>
      </c>
      <c r="B7" s="13"/>
      <c r="C7" s="14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34">
        <f t="shared" si="0"/>
        <v>0</v>
      </c>
      <c r="AK7" s="11">
        <f t="shared" si="1"/>
        <v>0</v>
      </c>
      <c r="AL7" s="43">
        <f t="shared" si="2"/>
        <v>0</v>
      </c>
      <c r="AM7" s="9">
        <f t="shared" si="3"/>
        <v>0</v>
      </c>
    </row>
    <row r="8" ht="27.75" spans="1:39">
      <c r="A8" s="12">
        <v>4</v>
      </c>
      <c r="B8" s="13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34">
        <f t="shared" si="0"/>
        <v>0</v>
      </c>
      <c r="AK8" s="11">
        <f t="shared" si="1"/>
        <v>0</v>
      </c>
      <c r="AL8" s="43">
        <f t="shared" si="2"/>
        <v>0</v>
      </c>
      <c r="AM8" s="9">
        <f t="shared" si="3"/>
        <v>0</v>
      </c>
    </row>
    <row r="9" ht="27.75" spans="1:39">
      <c r="A9" s="12">
        <v>5</v>
      </c>
      <c r="B9" s="13"/>
      <c r="C9" s="14"/>
      <c r="D9" s="14"/>
      <c r="E9" s="14"/>
      <c r="F9" s="14"/>
      <c r="G9" s="14"/>
      <c r="H9" s="14"/>
      <c r="I9" s="14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34">
        <f t="shared" si="0"/>
        <v>0</v>
      </c>
      <c r="AK9" s="11">
        <f t="shared" si="1"/>
        <v>0</v>
      </c>
      <c r="AL9" s="43">
        <f t="shared" si="2"/>
        <v>0</v>
      </c>
      <c r="AM9" s="9">
        <f t="shared" si="3"/>
        <v>0</v>
      </c>
    </row>
    <row r="10" ht="27.75" spans="1:39">
      <c r="A10" s="12">
        <v>6</v>
      </c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34">
        <f t="shared" si="0"/>
        <v>0</v>
      </c>
      <c r="AK10" s="11">
        <f t="shared" si="1"/>
        <v>0</v>
      </c>
      <c r="AL10" s="43">
        <f t="shared" si="2"/>
        <v>0</v>
      </c>
      <c r="AM10" s="9">
        <f t="shared" si="3"/>
        <v>0</v>
      </c>
    </row>
    <row r="11" ht="27.75" spans="1:39">
      <c r="A11" s="12">
        <v>7</v>
      </c>
      <c r="B11" s="13"/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34">
        <f t="shared" si="0"/>
        <v>0</v>
      </c>
      <c r="AK11" s="11">
        <f t="shared" si="1"/>
        <v>0</v>
      </c>
      <c r="AL11" s="43">
        <f t="shared" si="2"/>
        <v>0</v>
      </c>
      <c r="AM11" s="9">
        <f t="shared" si="3"/>
        <v>0</v>
      </c>
    </row>
    <row r="12" ht="27.75" spans="1:39">
      <c r="A12" s="12">
        <v>8</v>
      </c>
      <c r="B12" s="13"/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34">
        <f t="shared" si="0"/>
        <v>0</v>
      </c>
      <c r="AK12" s="11">
        <f t="shared" si="1"/>
        <v>0</v>
      </c>
      <c r="AL12" s="43">
        <f t="shared" si="2"/>
        <v>0</v>
      </c>
      <c r="AM12" s="9">
        <f t="shared" si="3"/>
        <v>0</v>
      </c>
    </row>
    <row r="13" ht="27.75" spans="1:39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34">
        <f t="shared" si="0"/>
        <v>0</v>
      </c>
      <c r="AK13" s="11">
        <f t="shared" si="1"/>
        <v>0</v>
      </c>
      <c r="AL13" s="43">
        <f t="shared" si="2"/>
        <v>0</v>
      </c>
      <c r="AM13" s="9">
        <f t="shared" si="3"/>
        <v>0</v>
      </c>
    </row>
    <row r="14" ht="27.75" spans="1:39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34">
        <f t="shared" si="0"/>
        <v>0</v>
      </c>
      <c r="AK14" s="11">
        <f t="shared" si="1"/>
        <v>0</v>
      </c>
      <c r="AL14" s="43">
        <f t="shared" si="2"/>
        <v>0</v>
      </c>
      <c r="AM14" s="9">
        <f t="shared" si="3"/>
        <v>0</v>
      </c>
    </row>
    <row r="15" ht="27.75" spans="1:39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34">
        <f t="shared" si="0"/>
        <v>0</v>
      </c>
      <c r="AK15" s="11">
        <f t="shared" si="1"/>
        <v>0</v>
      </c>
      <c r="AL15" s="43">
        <f t="shared" si="2"/>
        <v>0</v>
      </c>
      <c r="AM15" s="9">
        <f t="shared" si="3"/>
        <v>0</v>
      </c>
    </row>
    <row r="16" ht="27.75" spans="1:39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34">
        <f t="shared" si="0"/>
        <v>0</v>
      </c>
      <c r="AK16" s="11">
        <f t="shared" si="1"/>
        <v>0</v>
      </c>
      <c r="AL16" s="43">
        <f t="shared" si="2"/>
        <v>0</v>
      </c>
      <c r="AM16" s="9">
        <f t="shared" si="3"/>
        <v>0</v>
      </c>
    </row>
    <row r="17" ht="27.75" spans="1:39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34">
        <f t="shared" si="0"/>
        <v>0</v>
      </c>
      <c r="AK17" s="11">
        <f t="shared" si="1"/>
        <v>0</v>
      </c>
      <c r="AL17" s="43">
        <f t="shared" si="2"/>
        <v>0</v>
      </c>
      <c r="AM17" s="9">
        <f t="shared" si="3"/>
        <v>0</v>
      </c>
    </row>
    <row r="18" ht="27.75" spans="1:39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34">
        <f t="shared" si="0"/>
        <v>0</v>
      </c>
      <c r="AK18" s="11">
        <f t="shared" si="1"/>
        <v>0</v>
      </c>
      <c r="AL18" s="43">
        <f t="shared" si="2"/>
        <v>0</v>
      </c>
      <c r="AM18" s="9">
        <f t="shared" si="3"/>
        <v>0</v>
      </c>
    </row>
    <row r="19" ht="27.75" spans="1:39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34">
        <f t="shared" si="0"/>
        <v>0</v>
      </c>
      <c r="AK19" s="11">
        <f t="shared" si="1"/>
        <v>0</v>
      </c>
      <c r="AL19" s="43">
        <f t="shared" si="2"/>
        <v>0</v>
      </c>
      <c r="AM19" s="9">
        <f t="shared" si="3"/>
        <v>0</v>
      </c>
    </row>
    <row r="20" ht="27.75" spans="1:39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34">
        <f t="shared" si="0"/>
        <v>0</v>
      </c>
      <c r="AK20" s="11">
        <f t="shared" si="1"/>
        <v>0</v>
      </c>
      <c r="AL20" s="43">
        <f t="shared" si="2"/>
        <v>0</v>
      </c>
      <c r="AM20" s="9">
        <f t="shared" si="3"/>
        <v>0</v>
      </c>
    </row>
    <row r="21" ht="27.75" spans="1:39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34">
        <f t="shared" si="0"/>
        <v>0</v>
      </c>
      <c r="AK21" s="11">
        <f t="shared" si="1"/>
        <v>0</v>
      </c>
      <c r="AL21" s="43">
        <f t="shared" si="2"/>
        <v>0</v>
      </c>
      <c r="AM21" s="9">
        <f t="shared" si="3"/>
        <v>0</v>
      </c>
    </row>
    <row r="22" ht="27.75" spans="1:39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34">
        <f t="shared" si="0"/>
        <v>0</v>
      </c>
      <c r="AK22" s="11">
        <f t="shared" si="1"/>
        <v>0</v>
      </c>
      <c r="AL22" s="43">
        <f t="shared" si="2"/>
        <v>0</v>
      </c>
      <c r="AM22" s="9">
        <f t="shared" si="3"/>
        <v>0</v>
      </c>
    </row>
    <row r="23" ht="27.75" spans="1:39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34">
        <f t="shared" si="0"/>
        <v>0</v>
      </c>
      <c r="AK23" s="11">
        <f t="shared" si="1"/>
        <v>0</v>
      </c>
      <c r="AL23" s="43">
        <f t="shared" si="2"/>
        <v>0</v>
      </c>
      <c r="AM23" s="9">
        <f t="shared" si="3"/>
        <v>0</v>
      </c>
    </row>
    <row r="24" ht="27.75" spans="1:39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34">
        <f t="shared" si="0"/>
        <v>0</v>
      </c>
      <c r="AK24" s="11">
        <f t="shared" si="1"/>
        <v>0</v>
      </c>
      <c r="AL24" s="43">
        <f t="shared" si="2"/>
        <v>0</v>
      </c>
      <c r="AM24" s="9">
        <f t="shared" si="3"/>
        <v>0</v>
      </c>
    </row>
    <row r="25" ht="28.5" spans="1:39">
      <c r="A25" s="15" t="s">
        <v>48</v>
      </c>
      <c r="B25" s="16"/>
      <c r="C25" s="17" t="e">
        <f>AVERAGE(C5:C24)</f>
        <v>#DIV/0!</v>
      </c>
      <c r="D25" s="17" t="e">
        <f t="shared" ref="D25:AI25" si="4">AVERAGE(D5:D24)</f>
        <v>#DIV/0!</v>
      </c>
      <c r="E25" s="17" t="e">
        <f t="shared" si="4"/>
        <v>#DIV/0!</v>
      </c>
      <c r="F25" s="17" t="e">
        <f t="shared" si="4"/>
        <v>#DIV/0!</v>
      </c>
      <c r="G25" s="17" t="e">
        <f t="shared" si="4"/>
        <v>#DIV/0!</v>
      </c>
      <c r="H25" s="17"/>
      <c r="I25" s="17" t="e">
        <f t="shared" si="4"/>
        <v>#DIV/0!</v>
      </c>
      <c r="J25" s="17" t="e">
        <f t="shared" si="4"/>
        <v>#DIV/0!</v>
      </c>
      <c r="K25" s="17" t="e">
        <f t="shared" si="4"/>
        <v>#DIV/0!</v>
      </c>
      <c r="L25" s="17" t="e">
        <f t="shared" si="4"/>
        <v>#DIV/0!</v>
      </c>
      <c r="M25" s="17"/>
      <c r="N25" s="17" t="e">
        <f t="shared" si="4"/>
        <v>#DIV/0!</v>
      </c>
      <c r="O25" s="17" t="e">
        <f t="shared" si="4"/>
        <v>#DIV/0!</v>
      </c>
      <c r="P25" s="17" t="e">
        <f t="shared" si="4"/>
        <v>#DIV/0!</v>
      </c>
      <c r="Q25" s="17" t="e">
        <f t="shared" si="4"/>
        <v>#DIV/0!</v>
      </c>
      <c r="R25" s="17" t="e">
        <f t="shared" si="4"/>
        <v>#DIV/0!</v>
      </c>
      <c r="S25" s="17" t="e">
        <f t="shared" si="4"/>
        <v>#DIV/0!</v>
      </c>
      <c r="T25" s="17" t="e">
        <f t="shared" si="4"/>
        <v>#DIV/0!</v>
      </c>
      <c r="U25" s="17" t="e">
        <f t="shared" si="4"/>
        <v>#DIV/0!</v>
      </c>
      <c r="V25" s="17" t="e">
        <f t="shared" si="4"/>
        <v>#DIV/0!</v>
      </c>
      <c r="W25" s="17" t="e">
        <f t="shared" si="4"/>
        <v>#DIV/0!</v>
      </c>
      <c r="X25" s="17" t="e">
        <f t="shared" si="4"/>
        <v>#DIV/0!</v>
      </c>
      <c r="Y25" s="17" t="e">
        <f t="shared" si="4"/>
        <v>#DIV/0!</v>
      </c>
      <c r="Z25" s="17" t="e">
        <f t="shared" si="4"/>
        <v>#DIV/0!</v>
      </c>
      <c r="AA25" s="17" t="e">
        <f t="shared" si="4"/>
        <v>#DIV/0!</v>
      </c>
      <c r="AB25" s="17" t="e">
        <f t="shared" si="4"/>
        <v>#DIV/0!</v>
      </c>
      <c r="AC25" s="17" t="e">
        <f t="shared" si="4"/>
        <v>#DIV/0!</v>
      </c>
      <c r="AD25" s="17" t="e">
        <f t="shared" si="4"/>
        <v>#DIV/0!</v>
      </c>
      <c r="AE25" s="17" t="e">
        <f t="shared" si="4"/>
        <v>#DIV/0!</v>
      </c>
      <c r="AF25" s="17" t="e">
        <f t="shared" si="4"/>
        <v>#DIV/0!</v>
      </c>
      <c r="AG25" s="17" t="e">
        <f t="shared" si="4"/>
        <v>#DIV/0!</v>
      </c>
      <c r="AH25" s="17" t="e">
        <f t="shared" si="4"/>
        <v>#DIV/0!</v>
      </c>
      <c r="AI25" s="17" t="e">
        <f t="shared" si="4"/>
        <v>#DIV/0!</v>
      </c>
      <c r="AJ25" s="34" t="e">
        <f t="shared" si="0"/>
        <v>#DIV/0!</v>
      </c>
      <c r="AK25" s="34" t="e">
        <f t="shared" si="0"/>
        <v>#DIV/0!</v>
      </c>
      <c r="AL25" s="39">
        <f>SUM(AL5:AL24)</f>
        <v>0</v>
      </c>
      <c r="AM25" s="39">
        <f>SUM(AM5:AM24)</f>
        <v>0</v>
      </c>
    </row>
    <row r="26" ht="51.75" customHeight="1" spans="1:39">
      <c r="A26" s="15"/>
      <c r="B26" s="16" t="s">
        <v>49</v>
      </c>
      <c r="C26" s="18" t="e">
        <f t="shared" ref="C26:AK26" si="5">C25/C4*100</f>
        <v>#DIV/0!</v>
      </c>
      <c r="D26" s="18" t="e">
        <f t="shared" si="5"/>
        <v>#DIV/0!</v>
      </c>
      <c r="E26" s="18" t="e">
        <f t="shared" si="5"/>
        <v>#DIV/0!</v>
      </c>
      <c r="F26" s="18" t="e">
        <f t="shared" si="5"/>
        <v>#DIV/0!</v>
      </c>
      <c r="G26" s="18" t="e">
        <f t="shared" si="5"/>
        <v>#DIV/0!</v>
      </c>
      <c r="H26" s="18"/>
      <c r="I26" s="18" t="e">
        <f t="shared" si="5"/>
        <v>#DIV/0!</v>
      </c>
      <c r="J26" s="18" t="e">
        <f t="shared" si="5"/>
        <v>#DIV/0!</v>
      </c>
      <c r="K26" s="18" t="e">
        <f t="shared" si="5"/>
        <v>#DIV/0!</v>
      </c>
      <c r="L26" s="18" t="e">
        <f t="shared" si="5"/>
        <v>#DIV/0!</v>
      </c>
      <c r="M26" s="18"/>
      <c r="N26" s="18" t="e">
        <f t="shared" si="5"/>
        <v>#DIV/0!</v>
      </c>
      <c r="O26" s="18" t="e">
        <f t="shared" si="5"/>
        <v>#DIV/0!</v>
      </c>
      <c r="P26" s="18" t="e">
        <f t="shared" si="5"/>
        <v>#DIV/0!</v>
      </c>
      <c r="Q26" s="18" t="e">
        <f t="shared" si="5"/>
        <v>#DIV/0!</v>
      </c>
      <c r="R26" s="18" t="e">
        <f t="shared" si="5"/>
        <v>#DIV/0!</v>
      </c>
      <c r="S26" s="18" t="e">
        <f t="shared" si="5"/>
        <v>#DIV/0!</v>
      </c>
      <c r="T26" s="18" t="e">
        <f t="shared" si="5"/>
        <v>#DIV/0!</v>
      </c>
      <c r="U26" s="18" t="e">
        <f t="shared" si="5"/>
        <v>#DIV/0!</v>
      </c>
      <c r="V26" s="18" t="e">
        <f t="shared" si="5"/>
        <v>#DIV/0!</v>
      </c>
      <c r="W26" s="18" t="e">
        <f t="shared" si="5"/>
        <v>#DIV/0!</v>
      </c>
      <c r="X26" s="18" t="e">
        <f t="shared" si="5"/>
        <v>#DIV/0!</v>
      </c>
      <c r="Y26" s="18" t="e">
        <f t="shared" si="5"/>
        <v>#DIV/0!</v>
      </c>
      <c r="Z26" s="18" t="e">
        <f t="shared" si="5"/>
        <v>#DIV/0!</v>
      </c>
      <c r="AA26" s="18" t="e">
        <f t="shared" si="5"/>
        <v>#DIV/0!</v>
      </c>
      <c r="AB26" s="18" t="e">
        <f t="shared" si="5"/>
        <v>#DIV/0!</v>
      </c>
      <c r="AC26" s="18" t="e">
        <f t="shared" si="5"/>
        <v>#DIV/0!</v>
      </c>
      <c r="AD26" s="18" t="e">
        <f t="shared" si="5"/>
        <v>#DIV/0!</v>
      </c>
      <c r="AE26" s="18" t="e">
        <f t="shared" si="5"/>
        <v>#DIV/0!</v>
      </c>
      <c r="AF26" s="18" t="e">
        <f t="shared" si="5"/>
        <v>#DIV/0!</v>
      </c>
      <c r="AG26" s="18" t="e">
        <f t="shared" si="5"/>
        <v>#DIV/0!</v>
      </c>
      <c r="AH26" s="18" t="e">
        <f t="shared" si="5"/>
        <v>#DIV/0!</v>
      </c>
      <c r="AI26" s="18" t="e">
        <f t="shared" si="5"/>
        <v>#DIV/0!</v>
      </c>
      <c r="AJ26" s="18" t="e">
        <f t="shared" si="5"/>
        <v>#DIV/0!</v>
      </c>
      <c r="AK26" s="18" t="e">
        <f t="shared" si="5"/>
        <v>#DIV/0!</v>
      </c>
      <c r="AL26" s="39"/>
      <c r="AM26" s="39"/>
    </row>
    <row r="27" ht="29.25" spans="1:37">
      <c r="A27" s="19" t="s">
        <v>108</v>
      </c>
      <c r="B27" s="20"/>
      <c r="C27" s="18" t="e">
        <f>IF(C26&gt;70,"مستوى متميز",IF(C26&gt;60,"مستوى جيد",IF(C26&gt;50,"مستوى ملائم",IF(C26&gt;=40,"مستوى غير ملائم"," يحتاج الى تدخل سريع"))))</f>
        <v>#DIV/0!</v>
      </c>
      <c r="D27" s="18" t="e">
        <f t="shared" ref="D27:AJ27" si="6">IF(D26&gt;70,"مستوى متميز",IF(D26&gt;60,"مستوى جيد",IF(D26&gt;50,"مستوى ملائم",IF(D26&gt;=40,"مستوى غير ملائم"," يحتاج الى تدخل سريع"))))</f>
        <v>#DIV/0!</v>
      </c>
      <c r="E27" s="18" t="e">
        <f t="shared" si="6"/>
        <v>#DIV/0!</v>
      </c>
      <c r="F27" s="18" t="e">
        <f t="shared" si="6"/>
        <v>#DIV/0!</v>
      </c>
      <c r="G27" s="18" t="e">
        <f t="shared" si="6"/>
        <v>#DIV/0!</v>
      </c>
      <c r="H27" s="18" t="str">
        <f t="shared" si="6"/>
        <v> يحتاج الى تدخل سريع</v>
      </c>
      <c r="I27" s="18" t="e">
        <f t="shared" si="6"/>
        <v>#DIV/0!</v>
      </c>
      <c r="J27" s="18" t="e">
        <f t="shared" si="6"/>
        <v>#DIV/0!</v>
      </c>
      <c r="K27" s="18" t="e">
        <f t="shared" si="6"/>
        <v>#DIV/0!</v>
      </c>
      <c r="L27" s="18" t="e">
        <f t="shared" si="6"/>
        <v>#DIV/0!</v>
      </c>
      <c r="M27" s="18" t="str">
        <f t="shared" si="6"/>
        <v> يحتاج الى تدخل سريع</v>
      </c>
      <c r="N27" s="18" t="e">
        <f t="shared" si="6"/>
        <v>#DIV/0!</v>
      </c>
      <c r="O27" s="18" t="e">
        <f t="shared" si="6"/>
        <v>#DIV/0!</v>
      </c>
      <c r="P27" s="18" t="e">
        <f t="shared" si="6"/>
        <v>#DIV/0!</v>
      </c>
      <c r="Q27" s="18" t="e">
        <f t="shared" si="6"/>
        <v>#DIV/0!</v>
      </c>
      <c r="R27" s="18" t="e">
        <f t="shared" si="6"/>
        <v>#DIV/0!</v>
      </c>
      <c r="S27" s="18" t="e">
        <f t="shared" si="6"/>
        <v>#DIV/0!</v>
      </c>
      <c r="T27" s="18" t="e">
        <f t="shared" si="6"/>
        <v>#DIV/0!</v>
      </c>
      <c r="U27" s="18" t="e">
        <f t="shared" si="6"/>
        <v>#DIV/0!</v>
      </c>
      <c r="V27" s="18" t="e">
        <f t="shared" si="6"/>
        <v>#DIV/0!</v>
      </c>
      <c r="W27" s="18" t="e">
        <f t="shared" si="6"/>
        <v>#DIV/0!</v>
      </c>
      <c r="X27" s="18" t="e">
        <f t="shared" si="6"/>
        <v>#DIV/0!</v>
      </c>
      <c r="Y27" s="18" t="e">
        <f t="shared" si="6"/>
        <v>#DIV/0!</v>
      </c>
      <c r="Z27" s="18" t="e">
        <f t="shared" si="6"/>
        <v>#DIV/0!</v>
      </c>
      <c r="AA27" s="18" t="e">
        <f t="shared" si="6"/>
        <v>#DIV/0!</v>
      </c>
      <c r="AB27" s="18" t="e">
        <f t="shared" si="6"/>
        <v>#DIV/0!</v>
      </c>
      <c r="AC27" s="18" t="e">
        <f t="shared" si="6"/>
        <v>#DIV/0!</v>
      </c>
      <c r="AD27" s="18" t="e">
        <f t="shared" si="6"/>
        <v>#DIV/0!</v>
      </c>
      <c r="AE27" s="18" t="e">
        <f t="shared" si="6"/>
        <v>#DIV/0!</v>
      </c>
      <c r="AF27" s="18" t="e">
        <f t="shared" si="6"/>
        <v>#DIV/0!</v>
      </c>
      <c r="AG27" s="18" t="e">
        <f t="shared" si="6"/>
        <v>#DIV/0!</v>
      </c>
      <c r="AH27" s="18" t="e">
        <f t="shared" si="6"/>
        <v>#DIV/0!</v>
      </c>
      <c r="AI27" s="18" t="e">
        <f t="shared" si="6"/>
        <v>#DIV/0!</v>
      </c>
      <c r="AJ27" s="18" t="e">
        <f t="shared" si="6"/>
        <v>#DIV/0!</v>
      </c>
      <c r="AK27" s="18" t="e">
        <f t="shared" ref="AK27" si="7">IF(AK26&gt;70,"مستوى متميز",IF(AK26&gt;60,"مستوى جيد",IF(AK26&gt;50,"مستوى ملائم",IF(AK26&gt;=40,"مستوى غير ملائم"," يحتاج الى تدخل سريع"))))</f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Q6:AT6">
    <cfRule type="expression" dxfId="0" priority="2">
      <formula>"0&lt;40"</formula>
    </cfRule>
  </conditionalFormatting>
  <conditionalFormatting sqref="C26:AK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K27">
    <cfRule type="cellIs" dxfId="2" priority="7" operator="between">
      <formula>70</formula>
      <formula>100</formula>
    </cfRule>
  </conditionalFormatting>
  <conditionalFormatting sqref="C5:AI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C000"/>
  </sheetPr>
  <dimension ref="A3:AS58"/>
  <sheetViews>
    <sheetView tabSelected="1" zoomScale="50" zoomScaleNormal="50" topLeftCell="G1" workbookViewId="0">
      <pane ySplit="4" topLeftCell="A5" activePane="bottomLeft" state="frozen"/>
      <selection/>
      <selection pane="bottomLeft" activeCell="B13" sqref="B13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4" width="11.0952380952381" customWidth="1"/>
    <col min="5" max="5" width="14.6" customWidth="1"/>
    <col min="6" max="8" width="10.2952380952381" customWidth="1"/>
    <col min="9" max="9" width="14.0952380952381" customWidth="1"/>
    <col min="10" max="34" width="10.2952380952381" customWidth="1"/>
    <col min="35" max="35" width="13" customWidth="1"/>
    <col min="36" max="36" width="14.6" customWidth="1"/>
    <col min="37" max="37" width="20.0952380952381" customWidth="1"/>
    <col min="38" max="38" width="16.2952380952381" customWidth="1"/>
    <col min="39" max="39" width="9.09523809523809" customWidth="1"/>
    <col min="40" max="40" width="0.295238095238095" customWidth="1"/>
    <col min="41" max="41" width="16.6952380952381" customWidth="1"/>
    <col min="42" max="42" width="16" customWidth="1"/>
    <col min="43" max="43" width="15.2952380952381" customWidth="1"/>
    <col min="44" max="44" width="15.6" customWidth="1"/>
    <col min="45" max="45" width="16" customWidth="1"/>
  </cols>
  <sheetData>
    <row r="3" ht="50.25" customHeight="1" spans="1:38">
      <c r="A3" s="4" t="s">
        <v>15</v>
      </c>
      <c r="B3" s="5" t="s">
        <v>16</v>
      </c>
      <c r="C3" s="6">
        <v>1</v>
      </c>
      <c r="D3" s="6">
        <v>2</v>
      </c>
      <c r="E3" s="6">
        <v>3</v>
      </c>
      <c r="F3" s="6"/>
      <c r="G3" s="6" t="s">
        <v>125</v>
      </c>
      <c r="H3" s="6" t="s">
        <v>126</v>
      </c>
      <c r="I3" s="6" t="s">
        <v>127</v>
      </c>
      <c r="J3" s="6">
        <v>5</v>
      </c>
      <c r="K3" s="6" t="s">
        <v>128</v>
      </c>
      <c r="L3" s="6" t="s">
        <v>129</v>
      </c>
      <c r="M3" s="6">
        <v>7</v>
      </c>
      <c r="N3" s="6" t="s">
        <v>130</v>
      </c>
      <c r="O3" s="6" t="s">
        <v>131</v>
      </c>
      <c r="P3" s="6" t="s">
        <v>132</v>
      </c>
      <c r="Q3" s="6" t="s">
        <v>133</v>
      </c>
      <c r="R3" s="6">
        <v>10</v>
      </c>
      <c r="S3" s="6">
        <v>11</v>
      </c>
      <c r="T3" s="6">
        <v>12</v>
      </c>
      <c r="U3" s="6">
        <v>13</v>
      </c>
      <c r="V3" s="6">
        <v>14</v>
      </c>
      <c r="W3" s="6">
        <v>15</v>
      </c>
      <c r="X3" s="6">
        <v>16</v>
      </c>
      <c r="Y3" s="6">
        <v>17</v>
      </c>
      <c r="Z3" s="6" t="s">
        <v>134</v>
      </c>
      <c r="AA3" s="6" t="s">
        <v>135</v>
      </c>
      <c r="AB3" s="6">
        <v>19</v>
      </c>
      <c r="AC3" s="6">
        <v>20</v>
      </c>
      <c r="AD3" s="6" t="s">
        <v>136</v>
      </c>
      <c r="AE3" s="6" t="s">
        <v>137</v>
      </c>
      <c r="AF3" s="6">
        <v>22</v>
      </c>
      <c r="AG3" s="6"/>
      <c r="AH3" s="6"/>
      <c r="AI3" s="28" t="s">
        <v>33</v>
      </c>
      <c r="AJ3" s="29" t="s">
        <v>34</v>
      </c>
      <c r="AK3" s="30" t="s">
        <v>35</v>
      </c>
      <c r="AL3" s="31" t="s">
        <v>36</v>
      </c>
    </row>
    <row r="4" ht="69" customHeight="1" spans="1:45">
      <c r="A4" s="7"/>
      <c r="B4" s="8" t="s">
        <v>37</v>
      </c>
      <c r="C4" s="21">
        <v>1</v>
      </c>
      <c r="D4" s="11">
        <v>1</v>
      </c>
      <c r="E4" s="9">
        <v>1</v>
      </c>
      <c r="F4" s="11"/>
      <c r="G4" s="9">
        <v>1</v>
      </c>
      <c r="H4" s="21">
        <v>3</v>
      </c>
      <c r="I4" s="21">
        <v>1</v>
      </c>
      <c r="J4" s="21">
        <v>2</v>
      </c>
      <c r="K4" s="21">
        <v>1</v>
      </c>
      <c r="L4" s="9">
        <v>2</v>
      </c>
      <c r="M4" s="21">
        <v>1</v>
      </c>
      <c r="N4" s="11">
        <v>1</v>
      </c>
      <c r="O4" s="11">
        <v>1</v>
      </c>
      <c r="P4" s="9">
        <v>1</v>
      </c>
      <c r="Q4" s="9">
        <v>2</v>
      </c>
      <c r="R4" s="22">
        <v>2</v>
      </c>
      <c r="S4" s="22">
        <v>1</v>
      </c>
      <c r="T4" s="24">
        <v>1</v>
      </c>
      <c r="U4" s="23">
        <v>1</v>
      </c>
      <c r="V4" s="23">
        <v>1</v>
      </c>
      <c r="W4" s="22">
        <v>2</v>
      </c>
      <c r="X4" s="23">
        <v>1</v>
      </c>
      <c r="Y4" s="22">
        <v>1</v>
      </c>
      <c r="Z4" s="22">
        <v>3</v>
      </c>
      <c r="AA4" s="24">
        <v>1</v>
      </c>
      <c r="AB4" s="23">
        <v>1</v>
      </c>
      <c r="AC4" s="22">
        <v>2</v>
      </c>
      <c r="AD4" s="22">
        <v>1</v>
      </c>
      <c r="AE4" s="24">
        <v>2</v>
      </c>
      <c r="AF4" s="34">
        <v>1</v>
      </c>
      <c r="AG4" s="33"/>
      <c r="AH4" s="34"/>
      <c r="AI4" s="34">
        <f>SUM(C4:AH4)</f>
        <v>40</v>
      </c>
      <c r="AJ4" s="11">
        <f>AE4+AA4+T4+O4+N4+F4+D4</f>
        <v>7</v>
      </c>
      <c r="AK4" s="43">
        <f>AG4+AD4+AC4+Z4+Y4+W4+S4+R4+M4+K4+J4+I4+H4+C4</f>
        <v>21</v>
      </c>
      <c r="AL4" s="9">
        <f>AH4+AF4+AB4+X4+V4+U4+Q4+P4+L4+G4+E4</f>
        <v>12</v>
      </c>
      <c r="AO4" s="40" t="s">
        <v>38</v>
      </c>
      <c r="AP4" s="11" t="s">
        <v>39</v>
      </c>
      <c r="AQ4" s="9" t="s">
        <v>40</v>
      </c>
      <c r="AR4" s="41" t="s">
        <v>41</v>
      </c>
      <c r="AS4" s="21" t="s">
        <v>42</v>
      </c>
    </row>
    <row r="5" ht="27.75" spans="1:45">
      <c r="A5" s="12">
        <v>1</v>
      </c>
      <c r="B5" s="13" t="s">
        <v>138</v>
      </c>
      <c r="C5" s="14">
        <v>1</v>
      </c>
      <c r="D5" s="14">
        <v>1</v>
      </c>
      <c r="E5" s="14">
        <v>1</v>
      </c>
      <c r="F5" s="14"/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2</v>
      </c>
      <c r="M5" s="14">
        <v>1</v>
      </c>
      <c r="N5" s="14">
        <v>1</v>
      </c>
      <c r="O5" s="14">
        <v>0</v>
      </c>
      <c r="P5" s="14">
        <v>1</v>
      </c>
      <c r="Q5" s="14">
        <v>2</v>
      </c>
      <c r="R5" s="14">
        <v>2</v>
      </c>
      <c r="S5" s="14">
        <v>1</v>
      </c>
      <c r="T5" s="14">
        <v>1</v>
      </c>
      <c r="U5" s="14">
        <v>1</v>
      </c>
      <c r="V5" s="14">
        <v>1</v>
      </c>
      <c r="W5" s="14">
        <v>2</v>
      </c>
      <c r="X5" s="14">
        <v>1</v>
      </c>
      <c r="Y5" s="14">
        <v>1</v>
      </c>
      <c r="Z5" s="27">
        <v>0</v>
      </c>
      <c r="AA5" s="27">
        <v>0</v>
      </c>
      <c r="AB5" s="27">
        <v>1</v>
      </c>
      <c r="AC5" s="27">
        <v>2</v>
      </c>
      <c r="AD5" s="27">
        <v>1</v>
      </c>
      <c r="AE5" s="27">
        <v>1</v>
      </c>
      <c r="AF5" s="27">
        <v>1</v>
      </c>
      <c r="AG5" s="27"/>
      <c r="AH5" s="27"/>
      <c r="AI5" s="34">
        <f t="shared" ref="AI5:AI25" si="0">SUM(C5:AH5)</f>
        <v>31</v>
      </c>
      <c r="AJ5" s="11">
        <f t="shared" ref="AJ5:AJ24" si="1">AE5+AA5+T5+O5+N5+F5+D5</f>
        <v>4</v>
      </c>
      <c r="AK5" s="43">
        <f t="shared" ref="AK5:AK24" si="2">AG5+AD5+AC5+Z5+Y5+W5+S5+R5+M5+K5+J5+I5+H5+C5</f>
        <v>15</v>
      </c>
      <c r="AL5" s="9">
        <f t="shared" ref="AL5:AL24" si="3">AH5+AF5+AB5+X5+V5+U5+Q5+P5+L5+G5+E5</f>
        <v>12</v>
      </c>
      <c r="AO5" s="42" t="s">
        <v>43</v>
      </c>
      <c r="AP5" s="11" t="s">
        <v>44</v>
      </c>
      <c r="AQ5" s="9" t="s">
        <v>45</v>
      </c>
      <c r="AR5" s="41" t="s">
        <v>46</v>
      </c>
      <c r="AS5" s="21" t="s">
        <v>47</v>
      </c>
    </row>
    <row r="6" ht="27.75" spans="1:45">
      <c r="A6" s="12">
        <v>2</v>
      </c>
      <c r="B6" s="13" t="s">
        <v>139</v>
      </c>
      <c r="C6" s="14">
        <v>0</v>
      </c>
      <c r="D6" s="14">
        <v>1</v>
      </c>
      <c r="E6" s="14">
        <v>1</v>
      </c>
      <c r="F6" s="14"/>
      <c r="G6" s="14">
        <v>1</v>
      </c>
      <c r="H6" s="14">
        <v>3</v>
      </c>
      <c r="I6" s="14">
        <v>1</v>
      </c>
      <c r="J6" s="14">
        <v>2</v>
      </c>
      <c r="K6" s="14">
        <v>1</v>
      </c>
      <c r="L6" s="14">
        <v>2</v>
      </c>
      <c r="M6" s="14">
        <v>1</v>
      </c>
      <c r="N6" s="14">
        <v>1</v>
      </c>
      <c r="O6" s="14">
        <v>1</v>
      </c>
      <c r="P6" s="14">
        <v>1</v>
      </c>
      <c r="Q6" s="14">
        <v>2</v>
      </c>
      <c r="R6" s="14">
        <v>2</v>
      </c>
      <c r="S6" s="14">
        <v>1</v>
      </c>
      <c r="T6" s="14">
        <v>0</v>
      </c>
      <c r="U6" s="14">
        <v>1</v>
      </c>
      <c r="V6" s="14">
        <v>0</v>
      </c>
      <c r="W6" s="14">
        <v>1</v>
      </c>
      <c r="X6" s="14">
        <v>0</v>
      </c>
      <c r="Y6" s="14">
        <v>1</v>
      </c>
      <c r="Z6" s="27">
        <v>2</v>
      </c>
      <c r="AA6" s="27">
        <v>1</v>
      </c>
      <c r="AB6" s="27">
        <v>1</v>
      </c>
      <c r="AC6" s="27">
        <v>1</v>
      </c>
      <c r="AD6" s="27">
        <v>1</v>
      </c>
      <c r="AE6" s="27">
        <v>0</v>
      </c>
      <c r="AF6" s="27">
        <v>0</v>
      </c>
      <c r="AG6" s="27"/>
      <c r="AH6" s="27"/>
      <c r="AI6" s="34">
        <f t="shared" si="0"/>
        <v>30</v>
      </c>
      <c r="AJ6" s="11">
        <f t="shared" si="1"/>
        <v>4</v>
      </c>
      <c r="AK6" s="43">
        <f t="shared" si="2"/>
        <v>17</v>
      </c>
      <c r="AL6" s="9">
        <f t="shared" si="3"/>
        <v>9</v>
      </c>
      <c r="AO6">
        <v>71</v>
      </c>
      <c r="AP6">
        <v>71</v>
      </c>
      <c r="AQ6">
        <v>71</v>
      </c>
      <c r="AR6">
        <v>71</v>
      </c>
      <c r="AS6">
        <v>71</v>
      </c>
    </row>
    <row r="7" ht="27.75" spans="1:38">
      <c r="A7" s="12">
        <v>3</v>
      </c>
      <c r="B7" s="13" t="s">
        <v>140</v>
      </c>
      <c r="C7" s="14">
        <v>1</v>
      </c>
      <c r="D7" s="14">
        <v>1</v>
      </c>
      <c r="E7" s="14">
        <v>0</v>
      </c>
      <c r="F7" s="14"/>
      <c r="G7" s="14">
        <v>0</v>
      </c>
      <c r="H7" s="14">
        <v>0</v>
      </c>
      <c r="I7" s="14">
        <v>1</v>
      </c>
      <c r="J7" s="14">
        <v>1</v>
      </c>
      <c r="K7" s="14">
        <v>1</v>
      </c>
      <c r="L7" s="14">
        <v>2</v>
      </c>
      <c r="M7" s="14">
        <v>1</v>
      </c>
      <c r="N7" s="14">
        <v>1</v>
      </c>
      <c r="O7" s="14">
        <v>0</v>
      </c>
      <c r="P7" s="14">
        <v>1</v>
      </c>
      <c r="Q7" s="14">
        <v>2</v>
      </c>
      <c r="R7" s="14">
        <v>2</v>
      </c>
      <c r="S7" s="14">
        <v>1</v>
      </c>
      <c r="T7" s="14">
        <v>0</v>
      </c>
      <c r="U7" s="14">
        <v>0</v>
      </c>
      <c r="V7" s="14">
        <v>1</v>
      </c>
      <c r="W7" s="14">
        <v>2</v>
      </c>
      <c r="X7" s="14">
        <v>1</v>
      </c>
      <c r="Y7" s="14">
        <v>0</v>
      </c>
      <c r="Z7" s="27">
        <v>1</v>
      </c>
      <c r="AA7" s="27">
        <v>1</v>
      </c>
      <c r="AB7" s="27">
        <v>1</v>
      </c>
      <c r="AC7" s="27">
        <v>2</v>
      </c>
      <c r="AD7" s="27">
        <v>1</v>
      </c>
      <c r="AE7" s="27">
        <v>0</v>
      </c>
      <c r="AF7" s="27">
        <v>0</v>
      </c>
      <c r="AG7" s="27"/>
      <c r="AH7" s="27"/>
      <c r="AI7" s="34">
        <f t="shared" si="0"/>
        <v>25</v>
      </c>
      <c r="AJ7" s="11">
        <f t="shared" si="1"/>
        <v>3</v>
      </c>
      <c r="AK7" s="43">
        <f t="shared" si="2"/>
        <v>14</v>
      </c>
      <c r="AL7" s="9">
        <f t="shared" si="3"/>
        <v>8</v>
      </c>
    </row>
    <row r="8" ht="27.75" spans="1:38">
      <c r="A8" s="12">
        <v>4</v>
      </c>
      <c r="B8" s="13" t="s">
        <v>141</v>
      </c>
      <c r="C8" s="14">
        <v>1</v>
      </c>
      <c r="D8" s="14">
        <v>0</v>
      </c>
      <c r="E8" s="14">
        <v>0</v>
      </c>
      <c r="F8" s="14"/>
      <c r="G8" s="14">
        <v>1</v>
      </c>
      <c r="H8" s="14">
        <v>0</v>
      </c>
      <c r="I8" s="14">
        <v>1</v>
      </c>
      <c r="J8" s="14">
        <v>0</v>
      </c>
      <c r="K8" s="14">
        <v>1</v>
      </c>
      <c r="L8" s="14">
        <v>0</v>
      </c>
      <c r="M8" s="14">
        <v>1</v>
      </c>
      <c r="N8" s="14">
        <v>1</v>
      </c>
      <c r="O8" s="14">
        <v>0</v>
      </c>
      <c r="P8" s="14">
        <v>1</v>
      </c>
      <c r="Q8" s="14">
        <v>2</v>
      </c>
      <c r="R8" s="14">
        <v>2</v>
      </c>
      <c r="S8" s="14">
        <v>1</v>
      </c>
      <c r="T8" s="14">
        <v>0</v>
      </c>
      <c r="U8" s="14">
        <v>1</v>
      </c>
      <c r="V8" s="14">
        <v>1</v>
      </c>
      <c r="W8" s="14">
        <v>0</v>
      </c>
      <c r="X8" s="14">
        <v>0</v>
      </c>
      <c r="Y8" s="14">
        <v>1</v>
      </c>
      <c r="Z8" s="27">
        <v>0</v>
      </c>
      <c r="AA8" s="27">
        <v>1</v>
      </c>
      <c r="AB8" s="27">
        <v>1</v>
      </c>
      <c r="AC8" s="27">
        <v>0</v>
      </c>
      <c r="AD8" s="27">
        <v>1</v>
      </c>
      <c r="AE8" s="27">
        <v>1</v>
      </c>
      <c r="AF8" s="27">
        <v>1</v>
      </c>
      <c r="AG8" s="27"/>
      <c r="AH8" s="27"/>
      <c r="AI8" s="34">
        <f t="shared" si="0"/>
        <v>20</v>
      </c>
      <c r="AJ8" s="11">
        <f t="shared" si="1"/>
        <v>3</v>
      </c>
      <c r="AK8" s="43">
        <f t="shared" si="2"/>
        <v>9</v>
      </c>
      <c r="AL8" s="9">
        <f t="shared" si="3"/>
        <v>8</v>
      </c>
    </row>
    <row r="9" ht="27.75" spans="1:38">
      <c r="A9" s="12">
        <v>5</v>
      </c>
      <c r="B9" s="13" t="s">
        <v>142</v>
      </c>
      <c r="C9" s="14">
        <v>1</v>
      </c>
      <c r="D9" s="14">
        <v>0</v>
      </c>
      <c r="E9" s="14">
        <v>0</v>
      </c>
      <c r="F9" s="14"/>
      <c r="G9" s="14">
        <v>0</v>
      </c>
      <c r="H9" s="14">
        <v>0</v>
      </c>
      <c r="I9" s="14">
        <v>1</v>
      </c>
      <c r="J9" s="14">
        <v>0</v>
      </c>
      <c r="K9" s="14">
        <v>0</v>
      </c>
      <c r="L9" s="14">
        <v>0</v>
      </c>
      <c r="M9" s="14">
        <v>1</v>
      </c>
      <c r="N9" s="14">
        <v>0</v>
      </c>
      <c r="O9" s="14">
        <v>1</v>
      </c>
      <c r="P9" s="14">
        <v>1</v>
      </c>
      <c r="Q9" s="14">
        <v>0</v>
      </c>
      <c r="R9" s="14">
        <v>0</v>
      </c>
      <c r="S9" s="14">
        <v>0</v>
      </c>
      <c r="T9" s="14">
        <v>1</v>
      </c>
      <c r="U9" s="14">
        <v>0</v>
      </c>
      <c r="V9" s="14">
        <v>1</v>
      </c>
      <c r="W9" s="14">
        <v>0</v>
      </c>
      <c r="X9" s="14">
        <v>1</v>
      </c>
      <c r="Y9" s="14">
        <v>1</v>
      </c>
      <c r="Z9" s="27">
        <v>0</v>
      </c>
      <c r="AA9" s="27">
        <v>1</v>
      </c>
      <c r="AB9" s="27">
        <v>1</v>
      </c>
      <c r="AC9" s="27">
        <v>0</v>
      </c>
      <c r="AD9" s="27">
        <v>1</v>
      </c>
      <c r="AE9" s="27">
        <v>0</v>
      </c>
      <c r="AF9" s="27">
        <v>0</v>
      </c>
      <c r="AG9" s="27"/>
      <c r="AH9" s="27"/>
      <c r="AI9" s="34">
        <f t="shared" si="0"/>
        <v>12</v>
      </c>
      <c r="AJ9" s="11">
        <f t="shared" si="1"/>
        <v>3</v>
      </c>
      <c r="AK9" s="43">
        <f t="shared" si="2"/>
        <v>5</v>
      </c>
      <c r="AL9" s="9">
        <f t="shared" si="3"/>
        <v>4</v>
      </c>
    </row>
    <row r="10" ht="27.75" spans="1:38">
      <c r="A10" s="12">
        <v>6</v>
      </c>
      <c r="B10" s="13" t="s">
        <v>143</v>
      </c>
      <c r="C10" s="14">
        <v>1</v>
      </c>
      <c r="D10" s="14">
        <v>0</v>
      </c>
      <c r="E10" s="14">
        <v>1</v>
      </c>
      <c r="F10" s="14"/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1</v>
      </c>
      <c r="N10" s="14">
        <v>0</v>
      </c>
      <c r="O10" s="14">
        <v>1</v>
      </c>
      <c r="P10" s="14">
        <v>0</v>
      </c>
      <c r="Q10" s="14">
        <v>0</v>
      </c>
      <c r="R10" s="14">
        <v>0</v>
      </c>
      <c r="S10" s="14">
        <v>1</v>
      </c>
      <c r="T10" s="14">
        <v>1</v>
      </c>
      <c r="U10" s="14">
        <v>0</v>
      </c>
      <c r="V10" s="14">
        <v>1</v>
      </c>
      <c r="W10" s="14">
        <v>0</v>
      </c>
      <c r="X10" s="14">
        <v>1</v>
      </c>
      <c r="Y10" s="14">
        <v>0</v>
      </c>
      <c r="Z10" s="27">
        <v>0</v>
      </c>
      <c r="AA10" s="27">
        <v>1</v>
      </c>
      <c r="AB10" s="27">
        <v>1</v>
      </c>
      <c r="AC10" s="27">
        <v>0</v>
      </c>
      <c r="AD10" s="27">
        <v>1</v>
      </c>
      <c r="AE10" s="27">
        <v>0</v>
      </c>
      <c r="AF10" s="27">
        <v>0</v>
      </c>
      <c r="AG10" s="27"/>
      <c r="AH10" s="27"/>
      <c r="AI10" s="34">
        <f t="shared" si="0"/>
        <v>11</v>
      </c>
      <c r="AJ10" s="11">
        <f t="shared" si="1"/>
        <v>3</v>
      </c>
      <c r="AK10" s="43">
        <f t="shared" si="2"/>
        <v>4</v>
      </c>
      <c r="AL10" s="9">
        <f t="shared" si="3"/>
        <v>4</v>
      </c>
    </row>
    <row r="11" ht="27.75" spans="1:38">
      <c r="A11" s="12">
        <v>7</v>
      </c>
      <c r="B11" s="13" t="s">
        <v>144</v>
      </c>
      <c r="C11" s="14">
        <v>1</v>
      </c>
      <c r="D11" s="14">
        <v>0</v>
      </c>
      <c r="E11" s="14">
        <v>0</v>
      </c>
      <c r="F11" s="14"/>
      <c r="G11" s="14">
        <v>0</v>
      </c>
      <c r="H11" s="14">
        <v>0</v>
      </c>
      <c r="I11" s="14">
        <v>1</v>
      </c>
      <c r="J11" s="14">
        <v>0</v>
      </c>
      <c r="K11" s="14">
        <v>0</v>
      </c>
      <c r="L11" s="14">
        <v>1</v>
      </c>
      <c r="M11" s="14">
        <v>1</v>
      </c>
      <c r="N11" s="14">
        <v>0</v>
      </c>
      <c r="O11" s="14">
        <v>0</v>
      </c>
      <c r="P11" s="14">
        <v>0</v>
      </c>
      <c r="Q11" s="14">
        <v>2</v>
      </c>
      <c r="R11" s="14">
        <v>1</v>
      </c>
      <c r="S11" s="14">
        <v>1</v>
      </c>
      <c r="T11" s="14">
        <v>0</v>
      </c>
      <c r="U11" s="14">
        <v>0</v>
      </c>
      <c r="V11" s="14">
        <v>0</v>
      </c>
      <c r="W11" s="14">
        <v>0</v>
      </c>
      <c r="X11" s="14">
        <v>0</v>
      </c>
      <c r="Y11" s="14">
        <v>0</v>
      </c>
      <c r="Z11" s="27">
        <v>0</v>
      </c>
      <c r="AA11" s="27">
        <v>0</v>
      </c>
      <c r="AB11" s="27">
        <v>1</v>
      </c>
      <c r="AC11" s="27">
        <v>2</v>
      </c>
      <c r="AD11" s="27">
        <v>1</v>
      </c>
      <c r="AE11" s="27">
        <v>0</v>
      </c>
      <c r="AF11" s="27">
        <v>1</v>
      </c>
      <c r="AG11" s="27"/>
      <c r="AH11" s="27"/>
      <c r="AI11" s="34">
        <f t="shared" si="0"/>
        <v>13</v>
      </c>
      <c r="AJ11" s="11">
        <f t="shared" si="1"/>
        <v>0</v>
      </c>
      <c r="AK11" s="43">
        <f t="shared" si="2"/>
        <v>8</v>
      </c>
      <c r="AL11" s="9">
        <f t="shared" si="3"/>
        <v>5</v>
      </c>
    </row>
    <row r="12" ht="27.75" spans="1:38">
      <c r="A12" s="12">
        <v>8</v>
      </c>
      <c r="B12" s="13" t="s">
        <v>141</v>
      </c>
      <c r="C12" s="14">
        <v>1</v>
      </c>
      <c r="D12" s="14">
        <v>1</v>
      </c>
      <c r="E12" s="14">
        <v>1</v>
      </c>
      <c r="F12" s="14"/>
      <c r="G12" s="14">
        <v>0</v>
      </c>
      <c r="H12" s="14">
        <v>0</v>
      </c>
      <c r="I12" s="14">
        <v>1</v>
      </c>
      <c r="J12" s="14">
        <v>1</v>
      </c>
      <c r="K12" s="14">
        <v>1</v>
      </c>
      <c r="L12" s="14">
        <v>0</v>
      </c>
      <c r="M12" s="14">
        <v>1</v>
      </c>
      <c r="N12" s="14">
        <v>0</v>
      </c>
      <c r="O12" s="14">
        <v>1</v>
      </c>
      <c r="P12" s="14">
        <v>0</v>
      </c>
      <c r="Q12" s="14">
        <v>2</v>
      </c>
      <c r="R12" s="14">
        <v>2</v>
      </c>
      <c r="S12" s="14">
        <v>1</v>
      </c>
      <c r="T12" s="14">
        <v>1</v>
      </c>
      <c r="U12" s="14">
        <v>1</v>
      </c>
      <c r="V12" s="14">
        <v>0</v>
      </c>
      <c r="W12" s="14">
        <v>2</v>
      </c>
      <c r="X12" s="14">
        <v>1</v>
      </c>
      <c r="Y12" s="14">
        <v>0</v>
      </c>
      <c r="Z12" s="27">
        <v>0</v>
      </c>
      <c r="AA12" s="27">
        <v>0</v>
      </c>
      <c r="AB12" s="27">
        <v>1</v>
      </c>
      <c r="AC12" s="27">
        <v>0</v>
      </c>
      <c r="AD12" s="27">
        <v>1</v>
      </c>
      <c r="AE12" s="27">
        <v>0</v>
      </c>
      <c r="AF12" s="27">
        <v>0</v>
      </c>
      <c r="AG12" s="27"/>
      <c r="AH12" s="27"/>
      <c r="AI12" s="34">
        <f t="shared" si="0"/>
        <v>20</v>
      </c>
      <c r="AJ12" s="11">
        <f t="shared" si="1"/>
        <v>3</v>
      </c>
      <c r="AK12" s="43">
        <f t="shared" si="2"/>
        <v>11</v>
      </c>
      <c r="AL12" s="9">
        <f t="shared" si="3"/>
        <v>6</v>
      </c>
    </row>
    <row r="13" ht="27.75" spans="1:38">
      <c r="A13" s="12">
        <v>9</v>
      </c>
      <c r="B13" s="13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27"/>
      <c r="AA13" s="27"/>
      <c r="AB13" s="27"/>
      <c r="AC13" s="27"/>
      <c r="AD13" s="27"/>
      <c r="AE13" s="27"/>
      <c r="AF13" s="27"/>
      <c r="AG13" s="27"/>
      <c r="AH13" s="27"/>
      <c r="AI13" s="34">
        <f t="shared" si="0"/>
        <v>0</v>
      </c>
      <c r="AJ13" s="11">
        <f t="shared" si="1"/>
        <v>0</v>
      </c>
      <c r="AK13" s="43">
        <f t="shared" si="2"/>
        <v>0</v>
      </c>
      <c r="AL13" s="9">
        <f t="shared" si="3"/>
        <v>0</v>
      </c>
    </row>
    <row r="14" ht="27.75" spans="1:38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27"/>
      <c r="AA14" s="27"/>
      <c r="AB14" s="27"/>
      <c r="AC14" s="27"/>
      <c r="AD14" s="27"/>
      <c r="AE14" s="27"/>
      <c r="AF14" s="27"/>
      <c r="AG14" s="27"/>
      <c r="AH14" s="27"/>
      <c r="AI14" s="34">
        <f t="shared" si="0"/>
        <v>0</v>
      </c>
      <c r="AJ14" s="11">
        <f t="shared" si="1"/>
        <v>0</v>
      </c>
      <c r="AK14" s="43">
        <f t="shared" si="2"/>
        <v>0</v>
      </c>
      <c r="AL14" s="9">
        <f t="shared" si="3"/>
        <v>0</v>
      </c>
    </row>
    <row r="15" ht="27.75" spans="1:38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27"/>
      <c r="AA15" s="27"/>
      <c r="AB15" s="27"/>
      <c r="AC15" s="27"/>
      <c r="AD15" s="27"/>
      <c r="AE15" s="27"/>
      <c r="AF15" s="27"/>
      <c r="AG15" s="27"/>
      <c r="AH15" s="27"/>
      <c r="AI15" s="34">
        <f t="shared" si="0"/>
        <v>0</v>
      </c>
      <c r="AJ15" s="11">
        <f t="shared" si="1"/>
        <v>0</v>
      </c>
      <c r="AK15" s="43">
        <f t="shared" si="2"/>
        <v>0</v>
      </c>
      <c r="AL15" s="9">
        <f t="shared" si="3"/>
        <v>0</v>
      </c>
    </row>
    <row r="16" ht="27.75" spans="1:38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27"/>
      <c r="AA16" s="27"/>
      <c r="AB16" s="27"/>
      <c r="AC16" s="27"/>
      <c r="AD16" s="27"/>
      <c r="AE16" s="27"/>
      <c r="AF16" s="27"/>
      <c r="AG16" s="27"/>
      <c r="AH16" s="27"/>
      <c r="AI16" s="34">
        <f t="shared" si="0"/>
        <v>0</v>
      </c>
      <c r="AJ16" s="11">
        <f t="shared" si="1"/>
        <v>0</v>
      </c>
      <c r="AK16" s="43">
        <f t="shared" si="2"/>
        <v>0</v>
      </c>
      <c r="AL16" s="9">
        <f t="shared" si="3"/>
        <v>0</v>
      </c>
    </row>
    <row r="17" ht="27.75" spans="1:38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27"/>
      <c r="AA17" s="27"/>
      <c r="AB17" s="27"/>
      <c r="AC17" s="27"/>
      <c r="AD17" s="27"/>
      <c r="AE17" s="27"/>
      <c r="AF17" s="27"/>
      <c r="AG17" s="27"/>
      <c r="AH17" s="27"/>
      <c r="AI17" s="34">
        <f t="shared" si="0"/>
        <v>0</v>
      </c>
      <c r="AJ17" s="11">
        <f t="shared" si="1"/>
        <v>0</v>
      </c>
      <c r="AK17" s="43">
        <f t="shared" si="2"/>
        <v>0</v>
      </c>
      <c r="AL17" s="9">
        <f t="shared" si="3"/>
        <v>0</v>
      </c>
    </row>
    <row r="18" ht="27.75" spans="1:38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27"/>
      <c r="AA18" s="27"/>
      <c r="AB18" s="27"/>
      <c r="AC18" s="27"/>
      <c r="AD18" s="27"/>
      <c r="AE18" s="27"/>
      <c r="AF18" s="27"/>
      <c r="AG18" s="27"/>
      <c r="AH18" s="27"/>
      <c r="AI18" s="34">
        <f t="shared" si="0"/>
        <v>0</v>
      </c>
      <c r="AJ18" s="11">
        <f t="shared" si="1"/>
        <v>0</v>
      </c>
      <c r="AK18" s="43">
        <f t="shared" si="2"/>
        <v>0</v>
      </c>
      <c r="AL18" s="9">
        <f t="shared" si="3"/>
        <v>0</v>
      </c>
    </row>
    <row r="19" ht="27.75" spans="1:38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27"/>
      <c r="AA19" s="27"/>
      <c r="AB19" s="27"/>
      <c r="AC19" s="27"/>
      <c r="AD19" s="27"/>
      <c r="AE19" s="27"/>
      <c r="AF19" s="27"/>
      <c r="AG19" s="27"/>
      <c r="AH19" s="27"/>
      <c r="AI19" s="34">
        <f t="shared" si="0"/>
        <v>0</v>
      </c>
      <c r="AJ19" s="11">
        <f t="shared" si="1"/>
        <v>0</v>
      </c>
      <c r="AK19" s="43">
        <f t="shared" si="2"/>
        <v>0</v>
      </c>
      <c r="AL19" s="9">
        <f t="shared" si="3"/>
        <v>0</v>
      </c>
    </row>
    <row r="20" ht="27.75" spans="1:38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27"/>
      <c r="AA20" s="27"/>
      <c r="AB20" s="27"/>
      <c r="AC20" s="27"/>
      <c r="AD20" s="27"/>
      <c r="AE20" s="27"/>
      <c r="AF20" s="27"/>
      <c r="AG20" s="27"/>
      <c r="AH20" s="27"/>
      <c r="AI20" s="34">
        <f t="shared" si="0"/>
        <v>0</v>
      </c>
      <c r="AJ20" s="11">
        <f t="shared" si="1"/>
        <v>0</v>
      </c>
      <c r="AK20" s="43">
        <f t="shared" si="2"/>
        <v>0</v>
      </c>
      <c r="AL20" s="9">
        <f t="shared" si="3"/>
        <v>0</v>
      </c>
    </row>
    <row r="21" ht="27.75" spans="1:38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27"/>
      <c r="AA21" s="27"/>
      <c r="AB21" s="27"/>
      <c r="AC21" s="27"/>
      <c r="AD21" s="27"/>
      <c r="AE21" s="27"/>
      <c r="AF21" s="27"/>
      <c r="AG21" s="27"/>
      <c r="AH21" s="27"/>
      <c r="AI21" s="34">
        <f t="shared" si="0"/>
        <v>0</v>
      </c>
      <c r="AJ21" s="11">
        <f t="shared" si="1"/>
        <v>0</v>
      </c>
      <c r="AK21" s="43">
        <f t="shared" si="2"/>
        <v>0</v>
      </c>
      <c r="AL21" s="9">
        <f t="shared" si="3"/>
        <v>0</v>
      </c>
    </row>
    <row r="22" ht="27.75" spans="1:38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27"/>
      <c r="AA22" s="27"/>
      <c r="AB22" s="27"/>
      <c r="AC22" s="27"/>
      <c r="AD22" s="27"/>
      <c r="AE22" s="27"/>
      <c r="AF22" s="27"/>
      <c r="AG22" s="27"/>
      <c r="AH22" s="27"/>
      <c r="AI22" s="34">
        <f t="shared" si="0"/>
        <v>0</v>
      </c>
      <c r="AJ22" s="11">
        <f t="shared" si="1"/>
        <v>0</v>
      </c>
      <c r="AK22" s="43">
        <f t="shared" si="2"/>
        <v>0</v>
      </c>
      <c r="AL22" s="9">
        <f t="shared" si="3"/>
        <v>0</v>
      </c>
    </row>
    <row r="23" ht="27.75" spans="1:38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27"/>
      <c r="AA23" s="27"/>
      <c r="AB23" s="27"/>
      <c r="AC23" s="27"/>
      <c r="AD23" s="27"/>
      <c r="AE23" s="27"/>
      <c r="AF23" s="27"/>
      <c r="AG23" s="27"/>
      <c r="AH23" s="27"/>
      <c r="AI23" s="34">
        <f t="shared" si="0"/>
        <v>0</v>
      </c>
      <c r="AJ23" s="11">
        <f t="shared" si="1"/>
        <v>0</v>
      </c>
      <c r="AK23" s="43">
        <f t="shared" si="2"/>
        <v>0</v>
      </c>
      <c r="AL23" s="9">
        <f t="shared" si="3"/>
        <v>0</v>
      </c>
    </row>
    <row r="24" ht="27.75" spans="1:38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27"/>
      <c r="AA24" s="27"/>
      <c r="AB24" s="27"/>
      <c r="AC24" s="27"/>
      <c r="AD24" s="27"/>
      <c r="AE24" s="27"/>
      <c r="AF24" s="27"/>
      <c r="AG24" s="27"/>
      <c r="AH24" s="27"/>
      <c r="AI24" s="34">
        <f t="shared" si="0"/>
        <v>0</v>
      </c>
      <c r="AJ24" s="11">
        <f t="shared" si="1"/>
        <v>0</v>
      </c>
      <c r="AK24" s="43">
        <f t="shared" si="2"/>
        <v>0</v>
      </c>
      <c r="AL24" s="9">
        <f t="shared" si="3"/>
        <v>0</v>
      </c>
    </row>
    <row r="25" ht="28.5" spans="1:38">
      <c r="A25" s="15" t="s">
        <v>48</v>
      </c>
      <c r="B25" s="16"/>
      <c r="C25" s="17">
        <f>AVERAGE(C5:C24)</f>
        <v>0.875</v>
      </c>
      <c r="D25" s="17">
        <f t="shared" ref="D25:AH25" si="4">AVERAGE(D5:D24)</f>
        <v>0.5</v>
      </c>
      <c r="E25" s="17">
        <f t="shared" si="4"/>
        <v>0.5</v>
      </c>
      <c r="F25" s="17" t="e">
        <f t="shared" si="4"/>
        <v>#DIV/0!</v>
      </c>
      <c r="G25" s="17">
        <f t="shared" si="4"/>
        <v>0.375</v>
      </c>
      <c r="H25" s="17"/>
      <c r="I25" s="17">
        <f t="shared" si="4"/>
        <v>0.875</v>
      </c>
      <c r="J25" s="17">
        <f t="shared" si="4"/>
        <v>0.625</v>
      </c>
      <c r="K25" s="17">
        <f t="shared" si="4"/>
        <v>0.625</v>
      </c>
      <c r="L25" s="17">
        <f t="shared" si="4"/>
        <v>0.875</v>
      </c>
      <c r="M25" s="17"/>
      <c r="N25" s="17">
        <f t="shared" si="4"/>
        <v>0.5</v>
      </c>
      <c r="O25" s="17">
        <f t="shared" si="4"/>
        <v>0.5</v>
      </c>
      <c r="P25" s="17"/>
      <c r="Q25" s="17">
        <f t="shared" si="4"/>
        <v>1.5</v>
      </c>
      <c r="R25" s="17">
        <f t="shared" si="4"/>
        <v>1.375</v>
      </c>
      <c r="S25" s="17">
        <f t="shared" si="4"/>
        <v>0.875</v>
      </c>
      <c r="T25" s="17">
        <f t="shared" si="4"/>
        <v>0.5</v>
      </c>
      <c r="U25" s="17">
        <f t="shared" si="4"/>
        <v>0.5</v>
      </c>
      <c r="V25" s="17">
        <f t="shared" si="4"/>
        <v>0.625</v>
      </c>
      <c r="W25" s="17">
        <f t="shared" si="4"/>
        <v>0.875</v>
      </c>
      <c r="X25" s="17">
        <f t="shared" si="4"/>
        <v>0.625</v>
      </c>
      <c r="Y25" s="17">
        <f t="shared" si="4"/>
        <v>0.5</v>
      </c>
      <c r="Z25" s="17">
        <f t="shared" si="4"/>
        <v>0.375</v>
      </c>
      <c r="AA25" s="17">
        <f t="shared" si="4"/>
        <v>0.625</v>
      </c>
      <c r="AB25" s="17">
        <f t="shared" si="4"/>
        <v>1</v>
      </c>
      <c r="AC25" s="17">
        <f t="shared" si="4"/>
        <v>0.875</v>
      </c>
      <c r="AD25" s="17">
        <f t="shared" si="4"/>
        <v>1</v>
      </c>
      <c r="AE25" s="17">
        <f t="shared" si="4"/>
        <v>0.25</v>
      </c>
      <c r="AF25" s="17">
        <f t="shared" si="4"/>
        <v>0.375</v>
      </c>
      <c r="AG25" s="17" t="e">
        <f t="shared" si="4"/>
        <v>#DIV/0!</v>
      </c>
      <c r="AH25" s="17" t="e">
        <f t="shared" si="4"/>
        <v>#DIV/0!</v>
      </c>
      <c r="AI25" s="34" t="e">
        <f t="shared" si="0"/>
        <v>#DIV/0!</v>
      </c>
      <c r="AJ25" s="39">
        <f>SUM(AJ5:AJ24)</f>
        <v>23</v>
      </c>
      <c r="AK25" s="39">
        <f>SUM(AK5:AK24)</f>
        <v>83</v>
      </c>
      <c r="AL25" s="39">
        <f>SUM(AL5:AL24)</f>
        <v>56</v>
      </c>
    </row>
    <row r="26" ht="51.75" customHeight="1" spans="1:38">
      <c r="A26" s="15"/>
      <c r="B26" s="16" t="s">
        <v>49</v>
      </c>
      <c r="C26" s="18">
        <f t="shared" ref="C26:AI26" si="5">C25/C4*100</f>
        <v>87.5</v>
      </c>
      <c r="D26" s="18">
        <f t="shared" si="5"/>
        <v>50</v>
      </c>
      <c r="E26" s="18">
        <f t="shared" si="5"/>
        <v>50</v>
      </c>
      <c r="F26" s="18" t="e">
        <f t="shared" si="5"/>
        <v>#DIV/0!</v>
      </c>
      <c r="G26" s="18">
        <f t="shared" si="5"/>
        <v>37.5</v>
      </c>
      <c r="H26" s="18"/>
      <c r="I26" s="18">
        <f t="shared" si="5"/>
        <v>87.5</v>
      </c>
      <c r="J26" s="18">
        <f t="shared" si="5"/>
        <v>31.25</v>
      </c>
      <c r="K26" s="18">
        <f t="shared" si="5"/>
        <v>62.5</v>
      </c>
      <c r="L26" s="18">
        <f t="shared" si="5"/>
        <v>43.75</v>
      </c>
      <c r="M26" s="18"/>
      <c r="N26" s="18">
        <f t="shared" si="5"/>
        <v>50</v>
      </c>
      <c r="O26" s="18">
        <f t="shared" si="5"/>
        <v>50</v>
      </c>
      <c r="P26" s="18"/>
      <c r="Q26" s="18">
        <f t="shared" si="5"/>
        <v>75</v>
      </c>
      <c r="R26" s="18">
        <f t="shared" si="5"/>
        <v>68.75</v>
      </c>
      <c r="S26" s="18">
        <f t="shared" si="5"/>
        <v>87.5</v>
      </c>
      <c r="T26" s="18">
        <f t="shared" si="5"/>
        <v>50</v>
      </c>
      <c r="U26" s="18">
        <f t="shared" si="5"/>
        <v>50</v>
      </c>
      <c r="V26" s="18">
        <f t="shared" si="5"/>
        <v>62.5</v>
      </c>
      <c r="W26" s="18">
        <f t="shared" si="5"/>
        <v>43.75</v>
      </c>
      <c r="X26" s="18">
        <f t="shared" si="5"/>
        <v>62.5</v>
      </c>
      <c r="Y26" s="18">
        <f t="shared" si="5"/>
        <v>50</v>
      </c>
      <c r="Z26" s="18">
        <f t="shared" si="5"/>
        <v>12.5</v>
      </c>
      <c r="AA26" s="18">
        <f t="shared" si="5"/>
        <v>62.5</v>
      </c>
      <c r="AB26" s="18">
        <f t="shared" si="5"/>
        <v>100</v>
      </c>
      <c r="AC26" s="18">
        <f t="shared" si="5"/>
        <v>43.75</v>
      </c>
      <c r="AD26" s="18">
        <f t="shared" si="5"/>
        <v>100</v>
      </c>
      <c r="AE26" s="18">
        <f t="shared" si="5"/>
        <v>12.5</v>
      </c>
      <c r="AF26" s="18">
        <f t="shared" si="5"/>
        <v>37.5</v>
      </c>
      <c r="AG26" s="18" t="e">
        <f t="shared" si="5"/>
        <v>#DIV/0!</v>
      </c>
      <c r="AH26" s="18" t="e">
        <f t="shared" si="5"/>
        <v>#DIV/0!</v>
      </c>
      <c r="AI26" s="18" t="e">
        <f t="shared" si="5"/>
        <v>#DIV/0!</v>
      </c>
      <c r="AJ26" s="39"/>
      <c r="AK26" s="39"/>
      <c r="AL26" s="39"/>
    </row>
    <row r="27" ht="29.25" spans="1:35">
      <c r="A27" s="19" t="s">
        <v>108</v>
      </c>
      <c r="B27" s="20"/>
      <c r="C27" s="18" t="str">
        <f>IF(C26&gt;70,"مستوى متميز",IF(C26&gt;60,"مستوى جيد",IF(C26&gt;50,"مستوى ملائم",IF(C26&gt;=40,"مستوى غير ملائم"," يحتاج الى تدخل سريع"))))</f>
        <v>مستوى متميز</v>
      </c>
      <c r="D27" s="18" t="str">
        <f t="shared" ref="D27:AI27" si="6">IF(D26&gt;70,"مستوى متميز",IF(D26&gt;60,"مستوى جيد",IF(D26&gt;50,"مستوى ملائم",IF(D26&gt;=40,"مستوى غير ملائم"," يحتاج الى تدخل سريع"))))</f>
        <v>مستوى غير ملائم</v>
      </c>
      <c r="E27" s="18" t="str">
        <f t="shared" si="6"/>
        <v>مستوى غير ملائم</v>
      </c>
      <c r="F27" s="18" t="e">
        <f t="shared" si="6"/>
        <v>#DIV/0!</v>
      </c>
      <c r="G27" s="18" t="str">
        <f t="shared" si="6"/>
        <v> يحتاج الى تدخل سريع</v>
      </c>
      <c r="H27" s="18"/>
      <c r="I27" s="18" t="str">
        <f t="shared" si="6"/>
        <v>مستوى متميز</v>
      </c>
      <c r="J27" s="18" t="str">
        <f t="shared" si="6"/>
        <v> يحتاج الى تدخل سريع</v>
      </c>
      <c r="K27" s="18" t="str">
        <f t="shared" si="6"/>
        <v>مستوى جيد</v>
      </c>
      <c r="L27" s="18" t="str">
        <f t="shared" si="6"/>
        <v>مستوى غير ملائم</v>
      </c>
      <c r="M27" s="18"/>
      <c r="N27" s="18" t="str">
        <f t="shared" si="6"/>
        <v>مستوى غير ملائم</v>
      </c>
      <c r="O27" s="18" t="str">
        <f t="shared" si="6"/>
        <v>مستوى غير ملائم</v>
      </c>
      <c r="P27" s="18"/>
      <c r="Q27" s="18" t="str">
        <f t="shared" si="6"/>
        <v>مستوى متميز</v>
      </c>
      <c r="R27" s="18" t="str">
        <f t="shared" si="6"/>
        <v>مستوى جيد</v>
      </c>
      <c r="S27" s="18" t="str">
        <f t="shared" si="6"/>
        <v>مستوى متميز</v>
      </c>
      <c r="T27" s="18" t="str">
        <f t="shared" si="6"/>
        <v>مستوى غير ملائم</v>
      </c>
      <c r="U27" s="18" t="str">
        <f t="shared" si="6"/>
        <v>مستوى غير ملائم</v>
      </c>
      <c r="V27" s="18" t="str">
        <f t="shared" si="6"/>
        <v>مستوى جيد</v>
      </c>
      <c r="W27" s="18" t="str">
        <f t="shared" si="6"/>
        <v>مستوى غير ملائم</v>
      </c>
      <c r="X27" s="18" t="str">
        <f t="shared" si="6"/>
        <v>مستوى جيد</v>
      </c>
      <c r="Y27" s="18" t="str">
        <f t="shared" si="6"/>
        <v>مستوى غير ملائم</v>
      </c>
      <c r="Z27" s="18" t="str">
        <f t="shared" si="6"/>
        <v> يحتاج الى تدخل سريع</v>
      </c>
      <c r="AA27" s="18" t="str">
        <f t="shared" si="6"/>
        <v>مستوى جيد</v>
      </c>
      <c r="AB27" s="18" t="str">
        <f t="shared" si="6"/>
        <v>مستوى متميز</v>
      </c>
      <c r="AC27" s="18" t="str">
        <f t="shared" si="6"/>
        <v>مستوى غير ملائم</v>
      </c>
      <c r="AD27" s="18" t="str">
        <f t="shared" si="6"/>
        <v>مستوى متميز</v>
      </c>
      <c r="AE27" s="18" t="str">
        <f t="shared" si="6"/>
        <v> يحتاج الى تدخل سريع</v>
      </c>
      <c r="AF27" s="18" t="str">
        <f t="shared" si="6"/>
        <v> يحتاج الى تدخل سريع</v>
      </c>
      <c r="AG27" s="18" t="e">
        <f t="shared" si="6"/>
        <v>#DIV/0!</v>
      </c>
      <c r="AH27" s="18" t="e">
        <f t="shared" si="6"/>
        <v>#DIV/0!</v>
      </c>
      <c r="AI27" s="18" t="e">
        <f t="shared" si="6"/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P6:AS6">
    <cfRule type="expression" dxfId="0" priority="2">
      <formula>"0&lt;40"</formula>
    </cfRule>
  </conditionalFormatting>
  <conditionalFormatting sqref="C26:AI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I27">
    <cfRule type="cellIs" dxfId="2" priority="7" operator="between">
      <formula>70</formula>
      <formula>100</formula>
    </cfRule>
  </conditionalFormatting>
  <conditionalFormatting sqref="C5:AH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FF00"/>
  </sheetPr>
  <dimension ref="A3:BA58"/>
  <sheetViews>
    <sheetView zoomScale="46" zoomScaleNormal="46" workbookViewId="0">
      <pane ySplit="4" topLeftCell="A5" activePane="bottomLeft" state="frozen"/>
      <selection/>
      <selection pane="bottomLeft" activeCell="M4" sqref="M4"/>
    </sheetView>
  </sheetViews>
  <sheetFormatPr defaultColWidth="9" defaultRowHeight="15"/>
  <cols>
    <col min="1" max="1" width="4" style="3" customWidth="1"/>
    <col min="2" max="2" width="37.0952380952381" style="3" customWidth="1"/>
    <col min="3" max="3" width="18.6" customWidth="1"/>
    <col min="4" max="6" width="11.0952380952381" customWidth="1"/>
    <col min="7" max="8" width="14.6" customWidth="1"/>
    <col min="9" max="42" width="10.2952380952381" customWidth="1"/>
    <col min="43" max="43" width="13" customWidth="1"/>
    <col min="44" max="44" width="14.6" customWidth="1"/>
    <col min="45" max="45" width="20.0952380952381" customWidth="1"/>
    <col min="46" max="46" width="22.6" customWidth="1"/>
    <col min="47" max="47" width="14.8952380952381" customWidth="1"/>
    <col min="48" max="48" width="10.2952380952381" customWidth="1"/>
    <col min="49" max="49" width="16.6952380952381" customWidth="1"/>
    <col min="50" max="50" width="16" customWidth="1"/>
    <col min="51" max="51" width="15.2952380952381" customWidth="1"/>
    <col min="52" max="52" width="15.6" customWidth="1"/>
    <col min="53" max="53" width="16" customWidth="1"/>
  </cols>
  <sheetData>
    <row r="3" ht="50.25" customHeight="1" spans="1:47">
      <c r="A3" s="4" t="s">
        <v>15</v>
      </c>
      <c r="B3" s="5" t="s">
        <v>16</v>
      </c>
      <c r="C3" s="6">
        <v>1</v>
      </c>
      <c r="D3" s="6">
        <v>2</v>
      </c>
      <c r="E3" s="6" t="s">
        <v>145</v>
      </c>
      <c r="F3" s="6" t="s">
        <v>146</v>
      </c>
      <c r="G3" s="6">
        <v>4</v>
      </c>
      <c r="H3" s="6">
        <v>5</v>
      </c>
      <c r="I3" s="6">
        <v>6</v>
      </c>
      <c r="J3" s="6">
        <v>7</v>
      </c>
      <c r="K3" s="6">
        <v>8</v>
      </c>
      <c r="L3" s="6">
        <v>9</v>
      </c>
      <c r="M3" s="6">
        <v>10</v>
      </c>
      <c r="N3" s="6">
        <v>11</v>
      </c>
      <c r="O3" s="6">
        <v>12</v>
      </c>
      <c r="P3" s="6">
        <v>13</v>
      </c>
      <c r="Q3" s="6">
        <v>14</v>
      </c>
      <c r="R3" s="6">
        <v>15</v>
      </c>
      <c r="S3" s="6">
        <v>16</v>
      </c>
      <c r="T3" s="6">
        <v>17</v>
      </c>
      <c r="U3" s="6">
        <v>18</v>
      </c>
      <c r="V3" s="6">
        <v>19</v>
      </c>
      <c r="W3" s="6">
        <v>20</v>
      </c>
      <c r="X3" s="6">
        <v>21</v>
      </c>
      <c r="Y3" s="6" t="s">
        <v>147</v>
      </c>
      <c r="Z3" s="6" t="s">
        <v>148</v>
      </c>
      <c r="AA3" s="6">
        <v>23</v>
      </c>
      <c r="AB3" s="6" t="s">
        <v>149</v>
      </c>
      <c r="AC3" s="6" t="s">
        <v>150</v>
      </c>
      <c r="AD3" s="6">
        <v>25</v>
      </c>
      <c r="AE3" s="6">
        <v>26</v>
      </c>
      <c r="AF3" s="6">
        <v>27</v>
      </c>
      <c r="AG3" s="6">
        <v>28</v>
      </c>
      <c r="AH3" s="6">
        <v>29</v>
      </c>
      <c r="AI3" s="6">
        <v>30</v>
      </c>
      <c r="AJ3" s="6">
        <v>31</v>
      </c>
      <c r="AK3" s="6"/>
      <c r="AL3" s="6"/>
      <c r="AM3" s="6"/>
      <c r="AN3" s="6"/>
      <c r="AO3" s="6"/>
      <c r="AP3" s="6"/>
      <c r="AQ3" s="28" t="s">
        <v>33</v>
      </c>
      <c r="AR3" s="29" t="s">
        <v>34</v>
      </c>
      <c r="AS3" s="30" t="s">
        <v>35</v>
      </c>
      <c r="AT3" s="31" t="s">
        <v>36</v>
      </c>
      <c r="AU3" s="32" t="s">
        <v>151</v>
      </c>
    </row>
    <row r="4" ht="69" customHeight="1" spans="1:53">
      <c r="A4" s="7"/>
      <c r="B4" s="8" t="s">
        <v>37</v>
      </c>
      <c r="C4" s="9">
        <v>2</v>
      </c>
      <c r="D4" s="10">
        <v>1</v>
      </c>
      <c r="E4" s="10">
        <v>1</v>
      </c>
      <c r="F4" s="9">
        <v>1</v>
      </c>
      <c r="G4" s="11">
        <v>1</v>
      </c>
      <c r="H4" s="9">
        <v>2</v>
      </c>
      <c r="I4" s="21">
        <v>1</v>
      </c>
      <c r="J4" s="21">
        <v>4</v>
      </c>
      <c r="K4" s="9">
        <v>2</v>
      </c>
      <c r="L4" s="9">
        <v>2</v>
      </c>
      <c r="M4" s="9">
        <v>1</v>
      </c>
      <c r="N4" s="10">
        <v>1</v>
      </c>
      <c r="O4" s="10">
        <v>3</v>
      </c>
      <c r="P4" s="9">
        <v>1</v>
      </c>
      <c r="Q4" s="9">
        <v>3</v>
      </c>
      <c r="R4" s="9">
        <v>1</v>
      </c>
      <c r="S4" s="21">
        <v>2</v>
      </c>
      <c r="T4" s="9">
        <v>2</v>
      </c>
      <c r="U4" s="11">
        <v>2</v>
      </c>
      <c r="V4" s="21">
        <v>1</v>
      </c>
      <c r="W4" s="22">
        <v>1</v>
      </c>
      <c r="X4" s="22">
        <v>1</v>
      </c>
      <c r="Y4" s="23">
        <v>1</v>
      </c>
      <c r="Z4" s="22">
        <v>2</v>
      </c>
      <c r="AA4" s="23">
        <v>4</v>
      </c>
      <c r="AB4" s="24">
        <v>1</v>
      </c>
      <c r="AC4" s="25">
        <v>1</v>
      </c>
      <c r="AD4" s="22">
        <v>2</v>
      </c>
      <c r="AE4" s="24">
        <v>2</v>
      </c>
      <c r="AF4" s="23">
        <v>1</v>
      </c>
      <c r="AG4" s="23">
        <v>3</v>
      </c>
      <c r="AH4" s="22">
        <v>1</v>
      </c>
      <c r="AI4" s="24">
        <v>4</v>
      </c>
      <c r="AJ4" s="23">
        <v>2</v>
      </c>
      <c r="AK4" s="22"/>
      <c r="AL4" s="22"/>
      <c r="AM4" s="26"/>
      <c r="AN4" s="26"/>
      <c r="AO4" s="33"/>
      <c r="AP4" s="34"/>
      <c r="AQ4" s="34">
        <f>SUM(C4:AP4)</f>
        <v>60</v>
      </c>
      <c r="AR4" s="35">
        <f>AI4+AE4+AB4+U4+G4</f>
        <v>10</v>
      </c>
      <c r="AS4" s="36">
        <f>AO4+AL4+AK4+AH4+AD4+Z4+X4+W4+V4+S4+J4+I4</f>
        <v>15</v>
      </c>
      <c r="AT4" s="37">
        <f>AJ4+AG4+AF4+AA4+Y4+T4+R4+Q4+P4+M4+L4+K4+H4+F4+C4+AP4</f>
        <v>28</v>
      </c>
      <c r="AU4" s="38">
        <f>AN4+AM4+AC4+O4+N4+E4+D4</f>
        <v>7</v>
      </c>
      <c r="AW4" s="40" t="s">
        <v>38</v>
      </c>
      <c r="AX4" s="11" t="s">
        <v>39</v>
      </c>
      <c r="AY4" s="9" t="s">
        <v>40</v>
      </c>
      <c r="AZ4" s="41" t="s">
        <v>41</v>
      </c>
      <c r="BA4" s="21" t="s">
        <v>42</v>
      </c>
    </row>
    <row r="5" ht="28.5" spans="1:53">
      <c r="A5" s="12">
        <v>1</v>
      </c>
      <c r="B5" s="13"/>
      <c r="C5" s="14">
        <v>1</v>
      </c>
      <c r="D5" s="14">
        <v>1</v>
      </c>
      <c r="E5" s="14">
        <v>1</v>
      </c>
      <c r="F5" s="14">
        <v>1</v>
      </c>
      <c r="G5" s="14">
        <v>2</v>
      </c>
      <c r="H5" s="14">
        <v>1</v>
      </c>
      <c r="I5" s="14">
        <v>1</v>
      </c>
      <c r="J5" s="14">
        <v>1</v>
      </c>
      <c r="K5" s="14">
        <v>1</v>
      </c>
      <c r="L5" s="14">
        <v>0</v>
      </c>
      <c r="M5" s="14">
        <v>1</v>
      </c>
      <c r="N5" s="14">
        <v>1</v>
      </c>
      <c r="O5" s="14">
        <v>1</v>
      </c>
      <c r="P5" s="14">
        <v>3</v>
      </c>
      <c r="Q5" s="14">
        <v>0</v>
      </c>
      <c r="R5" s="14">
        <v>1</v>
      </c>
      <c r="S5" s="14">
        <v>2</v>
      </c>
      <c r="T5" s="14">
        <v>1</v>
      </c>
      <c r="U5" s="14">
        <v>0</v>
      </c>
      <c r="V5" s="14">
        <v>1</v>
      </c>
      <c r="W5" s="14">
        <v>0</v>
      </c>
      <c r="X5" s="14">
        <v>1</v>
      </c>
      <c r="Y5" s="14">
        <v>1</v>
      </c>
      <c r="Z5" s="14">
        <v>0</v>
      </c>
      <c r="AA5" s="14">
        <v>2</v>
      </c>
      <c r="AB5" s="14">
        <v>1</v>
      </c>
      <c r="AC5" s="14">
        <v>0</v>
      </c>
      <c r="AD5" s="14">
        <v>0</v>
      </c>
      <c r="AE5" s="14">
        <v>1</v>
      </c>
      <c r="AF5" s="14">
        <v>2</v>
      </c>
      <c r="AG5" s="27">
        <v>2</v>
      </c>
      <c r="AH5" s="27">
        <v>1</v>
      </c>
      <c r="AI5" s="27">
        <v>2</v>
      </c>
      <c r="AJ5" s="27">
        <v>2</v>
      </c>
      <c r="AK5" s="27"/>
      <c r="AL5" s="27"/>
      <c r="AM5" s="27"/>
      <c r="AN5" s="27"/>
      <c r="AO5" s="27"/>
      <c r="AP5" s="27"/>
      <c r="AQ5" s="34">
        <f t="shared" ref="AQ5:AQ24" si="0">SUM(C5:AP5)</f>
        <v>36</v>
      </c>
      <c r="AR5" s="35">
        <f t="shared" ref="AR5:AR24" si="1">AI5+AE5+AB5+U5+G5</f>
        <v>6</v>
      </c>
      <c r="AS5" s="36">
        <f t="shared" ref="AS5:AS24" si="2">AO5+AL5+AK5+AH5+AD5+Z5+X5+W5+V5+S5+J5+I5</f>
        <v>7</v>
      </c>
      <c r="AT5" s="37">
        <f t="shared" ref="AT5:AT8" si="3">AJ5+AG5+AF5+AA5+Y5+T5+R5+Q5+P5+M5+L5+K5+H5+F5+C5+AP5</f>
        <v>19</v>
      </c>
      <c r="AU5" s="38">
        <f t="shared" ref="AU5:AU24" si="4">AN5+AM5+AC5+O5+N5+E5+D5</f>
        <v>4</v>
      </c>
      <c r="AW5" s="42" t="s">
        <v>43</v>
      </c>
      <c r="AX5" s="11" t="s">
        <v>44</v>
      </c>
      <c r="AY5" s="9" t="s">
        <v>45</v>
      </c>
      <c r="AZ5" s="41" t="s">
        <v>46</v>
      </c>
      <c r="BA5" s="21" t="s">
        <v>47</v>
      </c>
    </row>
    <row r="6" ht="28.5" spans="1:53">
      <c r="A6" s="12">
        <v>2</v>
      </c>
      <c r="B6" s="13"/>
      <c r="C6" s="14">
        <v>1</v>
      </c>
      <c r="D6" s="14">
        <v>1</v>
      </c>
      <c r="E6" s="14">
        <v>1</v>
      </c>
      <c r="F6" s="14">
        <v>1</v>
      </c>
      <c r="G6" s="14">
        <v>2</v>
      </c>
      <c r="H6" s="14">
        <v>1</v>
      </c>
      <c r="I6" s="14">
        <v>1</v>
      </c>
      <c r="J6" s="14">
        <v>1</v>
      </c>
      <c r="K6" s="14">
        <v>1</v>
      </c>
      <c r="L6" s="14">
        <v>1</v>
      </c>
      <c r="M6" s="14">
        <v>1</v>
      </c>
      <c r="N6" s="14">
        <v>1</v>
      </c>
      <c r="O6" s="14">
        <v>1</v>
      </c>
      <c r="P6" s="14">
        <v>3</v>
      </c>
      <c r="Q6" s="14">
        <v>2</v>
      </c>
      <c r="R6" s="14">
        <v>1</v>
      </c>
      <c r="S6" s="14">
        <v>2</v>
      </c>
      <c r="T6" s="14">
        <v>1</v>
      </c>
      <c r="U6" s="14">
        <v>2</v>
      </c>
      <c r="V6" s="14">
        <v>1</v>
      </c>
      <c r="W6" s="14">
        <v>1</v>
      </c>
      <c r="X6" s="14">
        <v>1</v>
      </c>
      <c r="Y6" s="14">
        <v>1</v>
      </c>
      <c r="Z6" s="14">
        <v>4</v>
      </c>
      <c r="AA6" s="14">
        <v>2</v>
      </c>
      <c r="AB6" s="14">
        <v>1</v>
      </c>
      <c r="AC6" s="14">
        <v>2</v>
      </c>
      <c r="AD6" s="14">
        <v>0</v>
      </c>
      <c r="AE6" s="14">
        <v>1</v>
      </c>
      <c r="AF6" s="14">
        <v>1</v>
      </c>
      <c r="AG6" s="27">
        <v>2</v>
      </c>
      <c r="AH6" s="27">
        <v>1</v>
      </c>
      <c r="AI6" s="27">
        <v>2</v>
      </c>
      <c r="AJ6" s="27">
        <v>2</v>
      </c>
      <c r="AK6" s="27"/>
      <c r="AL6" s="27"/>
      <c r="AM6" s="27"/>
      <c r="AN6" s="27"/>
      <c r="AO6" s="27"/>
      <c r="AP6" s="27"/>
      <c r="AQ6" s="34">
        <f t="shared" si="0"/>
        <v>47</v>
      </c>
      <c r="AR6" s="35">
        <f t="shared" si="1"/>
        <v>8</v>
      </c>
      <c r="AS6" s="36">
        <f t="shared" si="2"/>
        <v>12</v>
      </c>
      <c r="AT6" s="37">
        <f t="shared" si="3"/>
        <v>21</v>
      </c>
      <c r="AU6" s="38">
        <f t="shared" si="4"/>
        <v>6</v>
      </c>
      <c r="AW6">
        <v>71</v>
      </c>
      <c r="AX6">
        <v>71</v>
      </c>
      <c r="AY6">
        <v>71</v>
      </c>
      <c r="AZ6">
        <v>71</v>
      </c>
      <c r="BA6">
        <v>71</v>
      </c>
    </row>
    <row r="7" ht="28.5" spans="1:47">
      <c r="A7" s="12">
        <v>3</v>
      </c>
      <c r="B7" s="13"/>
      <c r="C7" s="14">
        <v>1</v>
      </c>
      <c r="D7" s="14">
        <v>0</v>
      </c>
      <c r="E7" s="14">
        <v>1</v>
      </c>
      <c r="F7" s="14">
        <v>1</v>
      </c>
      <c r="G7" s="14">
        <v>2</v>
      </c>
      <c r="H7" s="14">
        <v>1</v>
      </c>
      <c r="I7" s="14">
        <v>1</v>
      </c>
      <c r="J7" s="14">
        <v>0</v>
      </c>
      <c r="K7" s="14">
        <v>1</v>
      </c>
      <c r="L7" s="14">
        <v>1</v>
      </c>
      <c r="M7" s="14">
        <v>1</v>
      </c>
      <c r="N7" s="14">
        <v>0</v>
      </c>
      <c r="O7" s="14">
        <v>1</v>
      </c>
      <c r="P7" s="14">
        <v>0</v>
      </c>
      <c r="Q7" s="14">
        <v>0</v>
      </c>
      <c r="R7" s="14">
        <v>1</v>
      </c>
      <c r="S7" s="14">
        <v>2</v>
      </c>
      <c r="T7" s="14">
        <v>1</v>
      </c>
      <c r="U7" s="14">
        <v>0</v>
      </c>
      <c r="V7" s="14">
        <v>0</v>
      </c>
      <c r="W7" s="14">
        <v>0</v>
      </c>
      <c r="X7" s="14">
        <v>1</v>
      </c>
      <c r="Y7" s="14">
        <v>1</v>
      </c>
      <c r="Z7" s="14">
        <v>0</v>
      </c>
      <c r="AA7" s="14">
        <v>0</v>
      </c>
      <c r="AB7" s="14">
        <v>1</v>
      </c>
      <c r="AC7" s="14">
        <v>0</v>
      </c>
      <c r="AD7" s="14">
        <v>0</v>
      </c>
      <c r="AE7" s="14">
        <v>1</v>
      </c>
      <c r="AF7" s="14">
        <v>1</v>
      </c>
      <c r="AG7" s="27">
        <v>2</v>
      </c>
      <c r="AH7" s="27">
        <v>1</v>
      </c>
      <c r="AI7" s="27">
        <v>1</v>
      </c>
      <c r="AJ7" s="27">
        <v>1</v>
      </c>
      <c r="AK7" s="27"/>
      <c r="AL7" s="27"/>
      <c r="AM7" s="27"/>
      <c r="AN7" s="27"/>
      <c r="AO7" s="27"/>
      <c r="AP7" s="27"/>
      <c r="AQ7" s="34">
        <f t="shared" si="0"/>
        <v>25</v>
      </c>
      <c r="AR7" s="35">
        <f t="shared" si="1"/>
        <v>5</v>
      </c>
      <c r="AS7" s="36">
        <f t="shared" si="2"/>
        <v>5</v>
      </c>
      <c r="AT7" s="37">
        <f t="shared" si="3"/>
        <v>13</v>
      </c>
      <c r="AU7" s="38">
        <f t="shared" si="4"/>
        <v>2</v>
      </c>
    </row>
    <row r="8" ht="28.5" spans="1:47">
      <c r="A8" s="12">
        <v>4</v>
      </c>
      <c r="B8" s="13"/>
      <c r="C8" s="14">
        <v>1</v>
      </c>
      <c r="D8" s="14">
        <v>0</v>
      </c>
      <c r="E8" s="14">
        <v>1</v>
      </c>
      <c r="F8" s="14">
        <v>1</v>
      </c>
      <c r="G8" s="14">
        <v>2</v>
      </c>
      <c r="H8" s="14">
        <v>1</v>
      </c>
      <c r="I8" s="14">
        <v>1</v>
      </c>
      <c r="J8" s="14">
        <v>0</v>
      </c>
      <c r="K8" s="14">
        <v>1</v>
      </c>
      <c r="L8" s="14">
        <v>0</v>
      </c>
      <c r="M8" s="14">
        <v>1</v>
      </c>
      <c r="N8" s="14">
        <v>0</v>
      </c>
      <c r="O8" s="14">
        <v>0</v>
      </c>
      <c r="P8" s="14">
        <v>3</v>
      </c>
      <c r="Q8" s="14">
        <v>0</v>
      </c>
      <c r="R8" s="14">
        <v>1</v>
      </c>
      <c r="S8" s="14">
        <v>2</v>
      </c>
      <c r="T8" s="14">
        <v>1</v>
      </c>
      <c r="U8" s="14">
        <v>0</v>
      </c>
      <c r="V8" s="14">
        <v>0</v>
      </c>
      <c r="W8" s="14">
        <v>1</v>
      </c>
      <c r="X8" s="14">
        <v>1</v>
      </c>
      <c r="Y8" s="14">
        <v>1</v>
      </c>
      <c r="Z8" s="14">
        <v>0</v>
      </c>
      <c r="AA8" s="14">
        <v>0</v>
      </c>
      <c r="AB8" s="14">
        <v>1</v>
      </c>
      <c r="AC8" s="14">
        <v>0</v>
      </c>
      <c r="AD8" s="14">
        <v>0</v>
      </c>
      <c r="AE8" s="14">
        <v>1</v>
      </c>
      <c r="AF8" s="14">
        <v>1</v>
      </c>
      <c r="AG8" s="27">
        <v>1</v>
      </c>
      <c r="AH8" s="27">
        <v>1</v>
      </c>
      <c r="AI8" s="27">
        <v>2</v>
      </c>
      <c r="AJ8" s="27">
        <v>1</v>
      </c>
      <c r="AK8" s="27"/>
      <c r="AL8" s="27"/>
      <c r="AM8" s="27"/>
      <c r="AN8" s="27"/>
      <c r="AO8" s="27"/>
      <c r="AP8" s="27"/>
      <c r="AQ8" s="34">
        <f t="shared" si="0"/>
        <v>27</v>
      </c>
      <c r="AR8" s="35">
        <f t="shared" si="1"/>
        <v>6</v>
      </c>
      <c r="AS8" s="36">
        <f t="shared" si="2"/>
        <v>6</v>
      </c>
      <c r="AT8" s="37">
        <f t="shared" si="3"/>
        <v>14</v>
      </c>
      <c r="AU8" s="38">
        <f t="shared" si="4"/>
        <v>1</v>
      </c>
    </row>
    <row r="9" ht="28.5" spans="1:47">
      <c r="A9" s="12">
        <v>5</v>
      </c>
      <c r="B9" s="13"/>
      <c r="C9" s="14">
        <v>1</v>
      </c>
      <c r="D9" s="14">
        <v>0</v>
      </c>
      <c r="E9" s="14">
        <v>1</v>
      </c>
      <c r="F9" s="14">
        <v>1</v>
      </c>
      <c r="G9" s="14">
        <v>2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0</v>
      </c>
      <c r="O9" s="14">
        <v>1</v>
      </c>
      <c r="P9" s="14">
        <v>3</v>
      </c>
      <c r="Q9" s="14">
        <v>2</v>
      </c>
      <c r="R9" s="14">
        <v>1</v>
      </c>
      <c r="S9" s="14">
        <v>2</v>
      </c>
      <c r="T9" s="14">
        <v>1</v>
      </c>
      <c r="U9" s="14">
        <v>0</v>
      </c>
      <c r="V9" s="14">
        <v>1</v>
      </c>
      <c r="W9" s="14">
        <v>0</v>
      </c>
      <c r="X9" s="14">
        <v>1</v>
      </c>
      <c r="Y9" s="14">
        <v>1</v>
      </c>
      <c r="Z9" s="14">
        <v>0</v>
      </c>
      <c r="AA9" s="14">
        <v>0</v>
      </c>
      <c r="AB9" s="14">
        <v>1</v>
      </c>
      <c r="AC9" s="14">
        <v>0</v>
      </c>
      <c r="AD9" s="14">
        <v>0</v>
      </c>
      <c r="AE9" s="14">
        <v>1</v>
      </c>
      <c r="AF9" s="14">
        <v>1</v>
      </c>
      <c r="AG9" s="27">
        <v>0</v>
      </c>
      <c r="AH9" s="27">
        <v>1</v>
      </c>
      <c r="AI9" s="27">
        <v>2</v>
      </c>
      <c r="AJ9" s="27">
        <v>2</v>
      </c>
      <c r="AK9" s="27"/>
      <c r="AL9" s="27"/>
      <c r="AM9" s="27"/>
      <c r="AN9" s="27"/>
      <c r="AO9" s="27"/>
      <c r="AP9" s="27"/>
      <c r="AQ9" s="34">
        <f t="shared" si="0"/>
        <v>32</v>
      </c>
      <c r="AR9" s="35">
        <f t="shared" si="1"/>
        <v>6</v>
      </c>
      <c r="AS9" s="36">
        <f t="shared" si="2"/>
        <v>7</v>
      </c>
      <c r="AT9" s="37">
        <f t="shared" ref="AT9" si="5">AP9+AJ9+AG9+AF9+AA9+Y9+T9+R9+Q9+P9+M9+AG29+L9+K9+H9+F9+C9</f>
        <v>17</v>
      </c>
      <c r="AU9" s="38">
        <f t="shared" si="4"/>
        <v>2</v>
      </c>
    </row>
    <row r="10" ht="28.5" spans="1:47">
      <c r="A10" s="12">
        <v>6</v>
      </c>
      <c r="B10" s="13"/>
      <c r="C10" s="14">
        <v>1</v>
      </c>
      <c r="D10" s="14">
        <v>1</v>
      </c>
      <c r="E10" s="14">
        <v>1</v>
      </c>
      <c r="F10" s="14">
        <v>1</v>
      </c>
      <c r="G10" s="14">
        <v>2</v>
      </c>
      <c r="H10" s="14">
        <v>1</v>
      </c>
      <c r="I10" s="14">
        <v>1</v>
      </c>
      <c r="J10" s="14">
        <v>1</v>
      </c>
      <c r="K10" s="14">
        <v>1</v>
      </c>
      <c r="L10" s="14">
        <v>1</v>
      </c>
      <c r="M10" s="14">
        <v>1</v>
      </c>
      <c r="N10" s="14">
        <v>1</v>
      </c>
      <c r="O10" s="14">
        <v>1</v>
      </c>
      <c r="P10" s="14">
        <v>3</v>
      </c>
      <c r="Q10" s="14">
        <v>2</v>
      </c>
      <c r="R10" s="14">
        <v>1</v>
      </c>
      <c r="S10" s="14">
        <v>2</v>
      </c>
      <c r="T10" s="14">
        <v>1</v>
      </c>
      <c r="U10" s="14">
        <v>2</v>
      </c>
      <c r="V10" s="14">
        <v>1</v>
      </c>
      <c r="W10" s="14">
        <v>1</v>
      </c>
      <c r="X10" s="14">
        <v>1</v>
      </c>
      <c r="Y10" s="14">
        <v>1</v>
      </c>
      <c r="Z10" s="14">
        <v>4</v>
      </c>
      <c r="AA10" s="14">
        <v>2</v>
      </c>
      <c r="AB10" s="14">
        <v>1</v>
      </c>
      <c r="AC10" s="14">
        <v>2</v>
      </c>
      <c r="AD10" s="14">
        <v>0</v>
      </c>
      <c r="AE10" s="14">
        <v>1</v>
      </c>
      <c r="AF10" s="14">
        <v>2</v>
      </c>
      <c r="AG10" s="27">
        <v>2</v>
      </c>
      <c r="AH10" s="27">
        <v>1</v>
      </c>
      <c r="AI10" s="27">
        <v>2</v>
      </c>
      <c r="AJ10" s="27">
        <v>2</v>
      </c>
      <c r="AK10" s="27"/>
      <c r="AL10" s="27"/>
      <c r="AM10" s="27"/>
      <c r="AN10" s="27"/>
      <c r="AO10" s="27"/>
      <c r="AP10" s="27"/>
      <c r="AQ10" s="34">
        <f t="shared" si="0"/>
        <v>48</v>
      </c>
      <c r="AR10" s="35">
        <f t="shared" si="1"/>
        <v>8</v>
      </c>
      <c r="AS10" s="36">
        <f t="shared" si="2"/>
        <v>12</v>
      </c>
      <c r="AT10" s="37">
        <f t="shared" ref="AT10:AT24" si="6">AP10+AJ10+AG10+AF10+AA10+Y10+T10+R10+Q10+P10+M10+AG30+L10+K10+H10+F10+C10</f>
        <v>22</v>
      </c>
      <c r="AU10" s="38">
        <f t="shared" si="4"/>
        <v>6</v>
      </c>
    </row>
    <row r="11" ht="28.5" spans="1:47">
      <c r="A11" s="12">
        <v>7</v>
      </c>
      <c r="B11" s="13"/>
      <c r="C11" s="14">
        <v>1</v>
      </c>
      <c r="D11" s="14">
        <v>1</v>
      </c>
      <c r="E11" s="14">
        <v>1</v>
      </c>
      <c r="F11" s="14">
        <v>1</v>
      </c>
      <c r="G11" s="14">
        <v>2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3</v>
      </c>
      <c r="Q11" s="14">
        <v>2</v>
      </c>
      <c r="R11" s="14">
        <v>1</v>
      </c>
      <c r="S11" s="14">
        <v>2</v>
      </c>
      <c r="T11" s="14">
        <v>1</v>
      </c>
      <c r="U11" s="14">
        <v>2</v>
      </c>
      <c r="V11" s="14">
        <v>1</v>
      </c>
      <c r="W11" s="14">
        <v>1</v>
      </c>
      <c r="X11" s="14">
        <v>1</v>
      </c>
      <c r="Y11" s="14">
        <v>1</v>
      </c>
      <c r="Z11" s="14">
        <v>4</v>
      </c>
      <c r="AA11" s="14">
        <v>2</v>
      </c>
      <c r="AB11" s="14">
        <v>1</v>
      </c>
      <c r="AC11" s="14">
        <v>2</v>
      </c>
      <c r="AD11" s="14">
        <v>4</v>
      </c>
      <c r="AE11" s="14">
        <v>1</v>
      </c>
      <c r="AF11" s="14">
        <v>2</v>
      </c>
      <c r="AG11" s="27">
        <v>2</v>
      </c>
      <c r="AH11" s="27">
        <v>1</v>
      </c>
      <c r="AI11" s="27">
        <v>2</v>
      </c>
      <c r="AJ11" s="27">
        <v>2</v>
      </c>
      <c r="AK11" s="27"/>
      <c r="AL11" s="27"/>
      <c r="AM11" s="27"/>
      <c r="AN11" s="27"/>
      <c r="AO11" s="27"/>
      <c r="AP11" s="27"/>
      <c r="AQ11" s="34">
        <f t="shared" si="0"/>
        <v>52</v>
      </c>
      <c r="AR11" s="35">
        <f t="shared" si="1"/>
        <v>8</v>
      </c>
      <c r="AS11" s="36">
        <f t="shared" si="2"/>
        <v>16</v>
      </c>
      <c r="AT11" s="37">
        <f t="shared" si="6"/>
        <v>22</v>
      </c>
      <c r="AU11" s="38">
        <f t="shared" si="4"/>
        <v>6</v>
      </c>
    </row>
    <row r="12" ht="28.5" spans="1:47">
      <c r="A12" s="12">
        <v>8</v>
      </c>
      <c r="B12" s="13"/>
      <c r="C12" s="14">
        <v>1</v>
      </c>
      <c r="D12" s="14">
        <v>1</v>
      </c>
      <c r="E12" s="14">
        <v>1</v>
      </c>
      <c r="F12" s="14">
        <v>1</v>
      </c>
      <c r="G12" s="14">
        <v>2</v>
      </c>
      <c r="H12" s="14">
        <v>1</v>
      </c>
      <c r="I12" s="14">
        <v>1</v>
      </c>
      <c r="J12" s="14">
        <v>1</v>
      </c>
      <c r="K12" s="14">
        <v>1</v>
      </c>
      <c r="L12" s="14">
        <v>1</v>
      </c>
      <c r="M12" s="14">
        <v>1</v>
      </c>
      <c r="N12" s="14">
        <v>1</v>
      </c>
      <c r="O12" s="14">
        <v>0</v>
      </c>
      <c r="P12" s="14">
        <v>3</v>
      </c>
      <c r="Q12" s="14">
        <v>2</v>
      </c>
      <c r="R12" s="14">
        <v>1</v>
      </c>
      <c r="S12" s="14">
        <v>2</v>
      </c>
      <c r="T12" s="14">
        <v>1</v>
      </c>
      <c r="U12" s="14">
        <v>2</v>
      </c>
      <c r="V12" s="14">
        <v>1</v>
      </c>
      <c r="W12" s="14">
        <v>1</v>
      </c>
      <c r="X12" s="14">
        <v>1</v>
      </c>
      <c r="Y12" s="14">
        <v>1</v>
      </c>
      <c r="Z12" s="14">
        <v>0</v>
      </c>
      <c r="AA12" s="14">
        <v>0</v>
      </c>
      <c r="AB12" s="14">
        <v>1</v>
      </c>
      <c r="AC12" s="14">
        <v>1</v>
      </c>
      <c r="AD12" s="14">
        <v>0</v>
      </c>
      <c r="AE12" s="14">
        <v>1</v>
      </c>
      <c r="AF12" s="14">
        <v>0</v>
      </c>
      <c r="AG12" s="27">
        <v>2</v>
      </c>
      <c r="AH12" s="27">
        <v>1</v>
      </c>
      <c r="AI12" s="27">
        <v>2</v>
      </c>
      <c r="AJ12" s="27">
        <v>2</v>
      </c>
      <c r="AK12" s="27"/>
      <c r="AL12" s="27"/>
      <c r="AM12" s="27"/>
      <c r="AN12" s="27"/>
      <c r="AO12" s="27"/>
      <c r="AP12" s="27"/>
      <c r="AQ12" s="34">
        <f t="shared" si="0"/>
        <v>38</v>
      </c>
      <c r="AR12" s="35">
        <f t="shared" si="1"/>
        <v>8</v>
      </c>
      <c r="AS12" s="36">
        <f t="shared" si="2"/>
        <v>8</v>
      </c>
      <c r="AT12" s="37">
        <f t="shared" si="6"/>
        <v>18</v>
      </c>
      <c r="AU12" s="38">
        <f t="shared" si="4"/>
        <v>4</v>
      </c>
    </row>
    <row r="13" ht="28.5" spans="1:47">
      <c r="A13" s="12">
        <v>9</v>
      </c>
      <c r="B13" s="13"/>
      <c r="C13" s="14">
        <v>1</v>
      </c>
      <c r="D13" s="14">
        <v>1</v>
      </c>
      <c r="E13" s="14">
        <v>1</v>
      </c>
      <c r="F13" s="14">
        <v>1</v>
      </c>
      <c r="G13" s="14">
        <v>2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0</v>
      </c>
      <c r="P13" s="14">
        <v>2</v>
      </c>
      <c r="Q13" s="14">
        <v>1</v>
      </c>
      <c r="R13" s="14">
        <v>1</v>
      </c>
      <c r="S13" s="14">
        <v>2</v>
      </c>
      <c r="T13" s="14">
        <v>1</v>
      </c>
      <c r="U13" s="14">
        <v>0</v>
      </c>
      <c r="V13" s="14">
        <v>0</v>
      </c>
      <c r="W13" s="14">
        <v>1</v>
      </c>
      <c r="X13" s="14">
        <v>1</v>
      </c>
      <c r="Y13" s="14">
        <v>1</v>
      </c>
      <c r="Z13" s="14">
        <v>0</v>
      </c>
      <c r="AA13" s="14">
        <v>2</v>
      </c>
      <c r="AB13" s="14">
        <v>1</v>
      </c>
      <c r="AC13" s="14">
        <v>1</v>
      </c>
      <c r="AD13" s="14">
        <v>0</v>
      </c>
      <c r="AE13" s="14">
        <v>1</v>
      </c>
      <c r="AF13" s="14">
        <v>0</v>
      </c>
      <c r="AG13" s="27">
        <v>2</v>
      </c>
      <c r="AH13" s="27">
        <v>1</v>
      </c>
      <c r="AI13" s="27">
        <v>2</v>
      </c>
      <c r="AJ13" s="27">
        <v>2</v>
      </c>
      <c r="AK13" s="27"/>
      <c r="AL13" s="27"/>
      <c r="AM13" s="27"/>
      <c r="AN13" s="27"/>
      <c r="AO13" s="27"/>
      <c r="AP13" s="27"/>
      <c r="AQ13" s="34">
        <f t="shared" si="0"/>
        <v>35</v>
      </c>
      <c r="AR13" s="35">
        <f t="shared" si="1"/>
        <v>6</v>
      </c>
      <c r="AS13" s="36">
        <f t="shared" si="2"/>
        <v>7</v>
      </c>
      <c r="AT13" s="37">
        <f t="shared" si="6"/>
        <v>18</v>
      </c>
      <c r="AU13" s="38">
        <f t="shared" si="4"/>
        <v>4</v>
      </c>
    </row>
    <row r="14" ht="28.5" spans="1:47">
      <c r="A14" s="12">
        <v>10</v>
      </c>
      <c r="B14" s="13"/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34">
        <f t="shared" si="0"/>
        <v>0</v>
      </c>
      <c r="AR14" s="35">
        <f t="shared" si="1"/>
        <v>0</v>
      </c>
      <c r="AS14" s="36">
        <f t="shared" si="2"/>
        <v>0</v>
      </c>
      <c r="AT14" s="37">
        <f t="shared" si="6"/>
        <v>0</v>
      </c>
      <c r="AU14" s="38">
        <f t="shared" si="4"/>
        <v>0</v>
      </c>
    </row>
    <row r="15" ht="28.5" spans="1:47">
      <c r="A15" s="12">
        <v>11</v>
      </c>
      <c r="B15" s="13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34">
        <f t="shared" si="0"/>
        <v>0</v>
      </c>
      <c r="AR15" s="35">
        <f t="shared" si="1"/>
        <v>0</v>
      </c>
      <c r="AS15" s="36">
        <f t="shared" si="2"/>
        <v>0</v>
      </c>
      <c r="AT15" s="37">
        <f t="shared" si="6"/>
        <v>0</v>
      </c>
      <c r="AU15" s="38">
        <f t="shared" si="4"/>
        <v>0</v>
      </c>
    </row>
    <row r="16" ht="28.5" spans="1:47">
      <c r="A16" s="12">
        <v>12</v>
      </c>
      <c r="B16" s="13"/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34">
        <f t="shared" si="0"/>
        <v>0</v>
      </c>
      <c r="AR16" s="35">
        <f t="shared" si="1"/>
        <v>0</v>
      </c>
      <c r="AS16" s="36">
        <f t="shared" si="2"/>
        <v>0</v>
      </c>
      <c r="AT16" s="37">
        <f t="shared" si="6"/>
        <v>0</v>
      </c>
      <c r="AU16" s="38">
        <f t="shared" si="4"/>
        <v>0</v>
      </c>
    </row>
    <row r="17" ht="28.5" spans="1:47">
      <c r="A17" s="12">
        <v>13</v>
      </c>
      <c r="B17" s="13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34">
        <f t="shared" si="0"/>
        <v>0</v>
      </c>
      <c r="AR17" s="35">
        <f t="shared" si="1"/>
        <v>0</v>
      </c>
      <c r="AS17" s="36">
        <f t="shared" si="2"/>
        <v>0</v>
      </c>
      <c r="AT17" s="37">
        <f t="shared" si="6"/>
        <v>0</v>
      </c>
      <c r="AU17" s="38">
        <f t="shared" si="4"/>
        <v>0</v>
      </c>
    </row>
    <row r="18" ht="28.5" spans="1:47">
      <c r="A18" s="12">
        <v>14</v>
      </c>
      <c r="B18" s="13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34">
        <f t="shared" si="0"/>
        <v>0</v>
      </c>
      <c r="AR18" s="35">
        <f t="shared" si="1"/>
        <v>0</v>
      </c>
      <c r="AS18" s="36">
        <f t="shared" si="2"/>
        <v>0</v>
      </c>
      <c r="AT18" s="37">
        <f t="shared" si="6"/>
        <v>0</v>
      </c>
      <c r="AU18" s="38">
        <f t="shared" si="4"/>
        <v>0</v>
      </c>
    </row>
    <row r="19" ht="28.5" spans="1:47">
      <c r="A19" s="12">
        <v>15</v>
      </c>
      <c r="B19" s="13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34">
        <f t="shared" si="0"/>
        <v>0</v>
      </c>
      <c r="AR19" s="35">
        <f t="shared" si="1"/>
        <v>0</v>
      </c>
      <c r="AS19" s="36">
        <f t="shared" si="2"/>
        <v>0</v>
      </c>
      <c r="AT19" s="37">
        <f t="shared" si="6"/>
        <v>0</v>
      </c>
      <c r="AU19" s="38">
        <f t="shared" si="4"/>
        <v>0</v>
      </c>
    </row>
    <row r="20" ht="28.5" spans="1:47">
      <c r="A20" s="12">
        <v>16</v>
      </c>
      <c r="B20" s="13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34">
        <f t="shared" si="0"/>
        <v>0</v>
      </c>
      <c r="AR20" s="35">
        <f t="shared" si="1"/>
        <v>0</v>
      </c>
      <c r="AS20" s="36">
        <f t="shared" si="2"/>
        <v>0</v>
      </c>
      <c r="AT20" s="37">
        <f t="shared" si="6"/>
        <v>0</v>
      </c>
      <c r="AU20" s="38">
        <f t="shared" si="4"/>
        <v>0</v>
      </c>
    </row>
    <row r="21" ht="28.5" spans="1:47">
      <c r="A21" s="12">
        <v>17</v>
      </c>
      <c r="B21" s="13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34">
        <f t="shared" si="0"/>
        <v>0</v>
      </c>
      <c r="AR21" s="35">
        <f t="shared" si="1"/>
        <v>0</v>
      </c>
      <c r="AS21" s="36">
        <f t="shared" si="2"/>
        <v>0</v>
      </c>
      <c r="AT21" s="37">
        <f t="shared" si="6"/>
        <v>0</v>
      </c>
      <c r="AU21" s="38">
        <f t="shared" si="4"/>
        <v>0</v>
      </c>
    </row>
    <row r="22" ht="28.5" spans="1:47">
      <c r="A22" s="12">
        <v>18</v>
      </c>
      <c r="B22" s="13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34">
        <f t="shared" si="0"/>
        <v>0</v>
      </c>
      <c r="AR22" s="35">
        <f t="shared" si="1"/>
        <v>0</v>
      </c>
      <c r="AS22" s="36">
        <f t="shared" si="2"/>
        <v>0</v>
      </c>
      <c r="AT22" s="37">
        <f t="shared" si="6"/>
        <v>0</v>
      </c>
      <c r="AU22" s="38">
        <f t="shared" si="4"/>
        <v>0</v>
      </c>
    </row>
    <row r="23" ht="28.5" spans="1:47">
      <c r="A23" s="12">
        <v>19</v>
      </c>
      <c r="B23" s="13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34">
        <f t="shared" si="0"/>
        <v>0</v>
      </c>
      <c r="AR23" s="35">
        <f t="shared" si="1"/>
        <v>0</v>
      </c>
      <c r="AS23" s="36">
        <f t="shared" si="2"/>
        <v>0</v>
      </c>
      <c r="AT23" s="37">
        <f t="shared" si="6"/>
        <v>0</v>
      </c>
      <c r="AU23" s="38">
        <f t="shared" si="4"/>
        <v>0</v>
      </c>
    </row>
    <row r="24" ht="28.5" spans="1:47">
      <c r="A24" s="12">
        <v>20</v>
      </c>
      <c r="B24" s="13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34">
        <f t="shared" si="0"/>
        <v>0</v>
      </c>
      <c r="AR24" s="35">
        <f t="shared" si="1"/>
        <v>0</v>
      </c>
      <c r="AS24" s="36">
        <f t="shared" si="2"/>
        <v>0</v>
      </c>
      <c r="AT24" s="37">
        <f t="shared" si="6"/>
        <v>0</v>
      </c>
      <c r="AU24" s="38">
        <f t="shared" si="4"/>
        <v>0</v>
      </c>
    </row>
    <row r="25" ht="28.5" spans="1:46">
      <c r="A25" s="15" t="s">
        <v>48</v>
      </c>
      <c r="B25" s="16"/>
      <c r="C25" s="17">
        <f>AVERAGE(C5:C24)</f>
        <v>1</v>
      </c>
      <c r="D25" s="17">
        <f t="shared" ref="D25:AQ25" si="7">AVERAGE(D5:D24)</f>
        <v>0.666666666666667</v>
      </c>
      <c r="E25" s="17">
        <f t="shared" si="7"/>
        <v>1</v>
      </c>
      <c r="F25" s="17">
        <f t="shared" si="7"/>
        <v>1</v>
      </c>
      <c r="G25" s="17">
        <f t="shared" si="7"/>
        <v>2</v>
      </c>
      <c r="H25" s="17">
        <f t="shared" si="7"/>
        <v>1</v>
      </c>
      <c r="I25" s="17">
        <f t="shared" si="7"/>
        <v>1</v>
      </c>
      <c r="J25" s="17">
        <f t="shared" si="7"/>
        <v>0.777777777777778</v>
      </c>
      <c r="K25" s="17">
        <f t="shared" si="7"/>
        <v>1</v>
      </c>
      <c r="L25" s="17">
        <f t="shared" si="7"/>
        <v>0.777777777777778</v>
      </c>
      <c r="M25" s="17">
        <f t="shared" si="7"/>
        <v>1</v>
      </c>
      <c r="N25" s="17">
        <f t="shared" si="7"/>
        <v>0.666666666666667</v>
      </c>
      <c r="O25" s="17">
        <f t="shared" si="7"/>
        <v>0.666666666666667</v>
      </c>
      <c r="P25" s="17">
        <f t="shared" si="7"/>
        <v>2.55555555555556</v>
      </c>
      <c r="Q25" s="17">
        <f t="shared" si="7"/>
        <v>1.22222222222222</v>
      </c>
      <c r="R25" s="17">
        <f t="shared" si="7"/>
        <v>1</v>
      </c>
      <c r="S25" s="17">
        <f t="shared" si="7"/>
        <v>2</v>
      </c>
      <c r="T25" s="17">
        <f t="shared" si="7"/>
        <v>1</v>
      </c>
      <c r="U25" s="17">
        <f t="shared" si="7"/>
        <v>0.888888888888889</v>
      </c>
      <c r="V25" s="17">
        <f t="shared" si="7"/>
        <v>0.666666666666667</v>
      </c>
      <c r="W25" s="17">
        <f t="shared" si="7"/>
        <v>0.666666666666667</v>
      </c>
      <c r="X25" s="17">
        <f t="shared" si="7"/>
        <v>1</v>
      </c>
      <c r="Y25" s="17">
        <f t="shared" si="7"/>
        <v>1</v>
      </c>
      <c r="Z25" s="17">
        <f t="shared" si="7"/>
        <v>1.33333333333333</v>
      </c>
      <c r="AA25" s="17">
        <f t="shared" si="7"/>
        <v>1.11111111111111</v>
      </c>
      <c r="AB25" s="17">
        <f t="shared" si="7"/>
        <v>1</v>
      </c>
      <c r="AC25" s="17">
        <f t="shared" si="7"/>
        <v>0.888888888888889</v>
      </c>
      <c r="AD25" s="17">
        <f t="shared" si="7"/>
        <v>0.444444444444444</v>
      </c>
      <c r="AE25" s="17">
        <f t="shared" si="7"/>
        <v>1</v>
      </c>
      <c r="AF25" s="17">
        <f t="shared" si="7"/>
        <v>1.11111111111111</v>
      </c>
      <c r="AG25" s="17">
        <f t="shared" si="7"/>
        <v>1.66666666666667</v>
      </c>
      <c r="AH25" s="17">
        <f t="shared" si="7"/>
        <v>1</v>
      </c>
      <c r="AI25" s="17">
        <f t="shared" si="7"/>
        <v>1.88888888888889</v>
      </c>
      <c r="AJ25" s="17">
        <f t="shared" si="7"/>
        <v>1.77777777777778</v>
      </c>
      <c r="AK25" s="17" t="e">
        <f t="shared" si="7"/>
        <v>#DIV/0!</v>
      </c>
      <c r="AL25" s="17" t="e">
        <f t="shared" si="7"/>
        <v>#DIV/0!</v>
      </c>
      <c r="AM25" s="17" t="e">
        <f t="shared" si="7"/>
        <v>#DIV/0!</v>
      </c>
      <c r="AN25" s="17" t="e">
        <f t="shared" si="7"/>
        <v>#DIV/0!</v>
      </c>
      <c r="AO25" s="17" t="e">
        <f t="shared" si="7"/>
        <v>#DIV/0!</v>
      </c>
      <c r="AP25" s="17" t="e">
        <f t="shared" si="7"/>
        <v>#DIV/0!</v>
      </c>
      <c r="AQ25" s="17">
        <f t="shared" si="7"/>
        <v>17</v>
      </c>
      <c r="AR25" s="34" t="e">
        <f>SUM(D25:AQ25)</f>
        <v>#DIV/0!</v>
      </c>
      <c r="AS25" s="39">
        <f>SUM(AS5:AS24)</f>
        <v>80</v>
      </c>
      <c r="AT25" s="39">
        <f>SUM(AT5:AT24)</f>
        <v>164</v>
      </c>
    </row>
    <row r="26" ht="51.75" customHeight="1" spans="1:46">
      <c r="A26" s="15"/>
      <c r="B26" s="16" t="s">
        <v>49</v>
      </c>
      <c r="C26" s="18">
        <f t="shared" ref="C26:AR26" si="8">C25/C4*100</f>
        <v>50</v>
      </c>
      <c r="D26" s="18">
        <f t="shared" si="8"/>
        <v>66.6666666666667</v>
      </c>
      <c r="E26" s="18">
        <f t="shared" si="8"/>
        <v>100</v>
      </c>
      <c r="F26" s="18">
        <f t="shared" si="8"/>
        <v>100</v>
      </c>
      <c r="G26" s="18">
        <f t="shared" si="8"/>
        <v>200</v>
      </c>
      <c r="H26" s="18">
        <f t="shared" si="8"/>
        <v>50</v>
      </c>
      <c r="I26" s="18">
        <f t="shared" si="8"/>
        <v>100</v>
      </c>
      <c r="J26" s="18">
        <f t="shared" si="8"/>
        <v>19.4444444444444</v>
      </c>
      <c r="K26" s="18">
        <f t="shared" si="8"/>
        <v>50</v>
      </c>
      <c r="L26" s="18">
        <f t="shared" si="8"/>
        <v>38.8888888888889</v>
      </c>
      <c r="M26" s="18">
        <f t="shared" si="8"/>
        <v>100</v>
      </c>
      <c r="N26" s="18">
        <f t="shared" si="8"/>
        <v>66.6666666666667</v>
      </c>
      <c r="O26" s="18">
        <f t="shared" si="8"/>
        <v>22.2222222222222</v>
      </c>
      <c r="P26" s="18">
        <f t="shared" si="8"/>
        <v>255.555555555556</v>
      </c>
      <c r="Q26" s="18">
        <f t="shared" si="8"/>
        <v>40.7407407407407</v>
      </c>
      <c r="R26" s="18">
        <f t="shared" si="8"/>
        <v>100</v>
      </c>
      <c r="S26" s="18">
        <f t="shared" si="8"/>
        <v>100</v>
      </c>
      <c r="T26" s="18">
        <f t="shared" si="8"/>
        <v>50</v>
      </c>
      <c r="U26" s="18">
        <f t="shared" si="8"/>
        <v>44.4444444444444</v>
      </c>
      <c r="V26" s="18">
        <f t="shared" si="8"/>
        <v>66.6666666666667</v>
      </c>
      <c r="W26" s="18">
        <f t="shared" si="8"/>
        <v>66.6666666666667</v>
      </c>
      <c r="X26" s="18">
        <f t="shared" si="8"/>
        <v>100</v>
      </c>
      <c r="Y26" s="18">
        <f t="shared" si="8"/>
        <v>100</v>
      </c>
      <c r="Z26" s="18">
        <f t="shared" si="8"/>
        <v>66.6666666666667</v>
      </c>
      <c r="AA26" s="18">
        <f t="shared" si="8"/>
        <v>27.7777777777778</v>
      </c>
      <c r="AB26" s="18">
        <f t="shared" si="8"/>
        <v>100</v>
      </c>
      <c r="AC26" s="18">
        <f t="shared" si="8"/>
        <v>88.8888888888889</v>
      </c>
      <c r="AD26" s="18">
        <f t="shared" si="8"/>
        <v>22.2222222222222</v>
      </c>
      <c r="AE26" s="18">
        <f t="shared" si="8"/>
        <v>50</v>
      </c>
      <c r="AF26" s="18">
        <f t="shared" si="8"/>
        <v>111.111111111111</v>
      </c>
      <c r="AG26" s="18">
        <f t="shared" si="8"/>
        <v>55.5555555555556</v>
      </c>
      <c r="AH26" s="18">
        <f t="shared" si="8"/>
        <v>100</v>
      </c>
      <c r="AI26" s="18">
        <f t="shared" si="8"/>
        <v>47.2222222222222</v>
      </c>
      <c r="AJ26" s="18">
        <f t="shared" si="8"/>
        <v>88.8888888888889</v>
      </c>
      <c r="AK26" s="18" t="e">
        <f t="shared" si="8"/>
        <v>#DIV/0!</v>
      </c>
      <c r="AL26" s="18" t="e">
        <f t="shared" si="8"/>
        <v>#DIV/0!</v>
      </c>
      <c r="AM26" s="18" t="e">
        <f t="shared" si="8"/>
        <v>#DIV/0!</v>
      </c>
      <c r="AN26" s="18" t="e">
        <f t="shared" si="8"/>
        <v>#DIV/0!</v>
      </c>
      <c r="AO26" s="18" t="e">
        <f t="shared" si="8"/>
        <v>#DIV/0!</v>
      </c>
      <c r="AP26" s="18" t="e">
        <f t="shared" si="8"/>
        <v>#DIV/0!</v>
      </c>
      <c r="AQ26" s="18">
        <f t="shared" si="8"/>
        <v>28.3333333333333</v>
      </c>
      <c r="AR26" s="18" t="e">
        <f t="shared" si="8"/>
        <v>#DIV/0!</v>
      </c>
      <c r="AS26" s="39"/>
      <c r="AT26" s="39"/>
    </row>
    <row r="27" ht="29.25" spans="1:44">
      <c r="A27" s="19" t="s">
        <v>108</v>
      </c>
      <c r="B27" s="20"/>
      <c r="C27" s="18" t="str">
        <f>IF(C26&gt;70,"مستوى متميز",IF(C26&gt;60,"مستوى جيد",IF(C26&gt;50,"مستوى ملائم",IF(C26&gt;=40,"مستوى غير ملائم"," يحتاج الى تدخل سريع"))))</f>
        <v>مستوى غير ملائم</v>
      </c>
      <c r="D27" s="18" t="str">
        <f t="shared" ref="D27:AR27" si="9">IF(D26&gt;70,"مستوى متميز",IF(D26&gt;60,"مستوى جيد",IF(D26&gt;50,"مستوى ملائم",IF(D26&gt;=40,"مستوى غير ملائم"," يحتاج الى تدخل سريع"))))</f>
        <v>مستوى جيد</v>
      </c>
      <c r="E27" s="18" t="str">
        <f t="shared" si="9"/>
        <v>مستوى متميز</v>
      </c>
      <c r="F27" s="18" t="str">
        <f t="shared" si="9"/>
        <v>مستوى متميز</v>
      </c>
      <c r="G27" s="18" t="str">
        <f t="shared" si="9"/>
        <v>مستوى متميز</v>
      </c>
      <c r="H27" s="18" t="str">
        <f t="shared" si="9"/>
        <v>مستوى غير ملائم</v>
      </c>
      <c r="I27" s="18" t="str">
        <f t="shared" si="9"/>
        <v>مستوى متميز</v>
      </c>
      <c r="J27" s="18" t="str">
        <f t="shared" si="9"/>
        <v> يحتاج الى تدخل سريع</v>
      </c>
      <c r="K27" s="18" t="str">
        <f t="shared" si="9"/>
        <v>مستوى غير ملائم</v>
      </c>
      <c r="L27" s="18" t="str">
        <f t="shared" si="9"/>
        <v> يحتاج الى تدخل سريع</v>
      </c>
      <c r="M27" s="18" t="str">
        <f t="shared" si="9"/>
        <v>مستوى متميز</v>
      </c>
      <c r="N27" s="18" t="str">
        <f t="shared" si="9"/>
        <v>مستوى جيد</v>
      </c>
      <c r="O27" s="18" t="str">
        <f t="shared" si="9"/>
        <v> يحتاج الى تدخل سريع</v>
      </c>
      <c r="P27" s="18" t="str">
        <f t="shared" si="9"/>
        <v>مستوى متميز</v>
      </c>
      <c r="Q27" s="18" t="str">
        <f t="shared" si="9"/>
        <v>مستوى غير ملائم</v>
      </c>
      <c r="R27" s="18" t="str">
        <f t="shared" si="9"/>
        <v>مستوى متميز</v>
      </c>
      <c r="S27" s="18" t="str">
        <f t="shared" si="9"/>
        <v>مستوى متميز</v>
      </c>
      <c r="T27" s="18" t="str">
        <f t="shared" si="9"/>
        <v>مستوى غير ملائم</v>
      </c>
      <c r="U27" s="18" t="str">
        <f t="shared" si="9"/>
        <v>مستوى غير ملائم</v>
      </c>
      <c r="V27" s="18" t="str">
        <f t="shared" si="9"/>
        <v>مستوى جيد</v>
      </c>
      <c r="W27" s="18" t="str">
        <f t="shared" si="9"/>
        <v>مستوى جيد</v>
      </c>
      <c r="X27" s="18" t="str">
        <f t="shared" si="9"/>
        <v>مستوى متميز</v>
      </c>
      <c r="Y27" s="18" t="str">
        <f t="shared" si="9"/>
        <v>مستوى متميز</v>
      </c>
      <c r="Z27" s="18" t="str">
        <f t="shared" si="9"/>
        <v>مستوى جيد</v>
      </c>
      <c r="AA27" s="18" t="str">
        <f t="shared" si="9"/>
        <v> يحتاج الى تدخل سريع</v>
      </c>
      <c r="AB27" s="18" t="str">
        <f t="shared" si="9"/>
        <v>مستوى متميز</v>
      </c>
      <c r="AC27" s="18" t="str">
        <f t="shared" si="9"/>
        <v>مستوى متميز</v>
      </c>
      <c r="AD27" s="18" t="str">
        <f t="shared" si="9"/>
        <v> يحتاج الى تدخل سريع</v>
      </c>
      <c r="AE27" s="18" t="str">
        <f t="shared" si="9"/>
        <v>مستوى غير ملائم</v>
      </c>
      <c r="AF27" s="18" t="str">
        <f t="shared" si="9"/>
        <v>مستوى متميز</v>
      </c>
      <c r="AG27" s="18" t="str">
        <f t="shared" si="9"/>
        <v>مستوى ملائم</v>
      </c>
      <c r="AH27" s="18" t="str">
        <f t="shared" si="9"/>
        <v>مستوى متميز</v>
      </c>
      <c r="AI27" s="18" t="str">
        <f t="shared" si="9"/>
        <v>مستوى غير ملائم</v>
      </c>
      <c r="AJ27" s="18" t="str">
        <f t="shared" si="9"/>
        <v>مستوى متميز</v>
      </c>
      <c r="AK27" s="18" t="e">
        <f t="shared" si="9"/>
        <v>#DIV/0!</v>
      </c>
      <c r="AL27" s="18" t="e">
        <f t="shared" si="9"/>
        <v>#DIV/0!</v>
      </c>
      <c r="AM27" s="18" t="e">
        <f t="shared" si="9"/>
        <v>#DIV/0!</v>
      </c>
      <c r="AN27" s="18" t="e">
        <f t="shared" si="9"/>
        <v>#DIV/0!</v>
      </c>
      <c r="AO27" s="18" t="e">
        <f t="shared" si="9"/>
        <v>#DIV/0!</v>
      </c>
      <c r="AP27" s="18" t="e">
        <f t="shared" si="9"/>
        <v>#DIV/0!</v>
      </c>
      <c r="AQ27" s="18" t="str">
        <f t="shared" si="9"/>
        <v> يحتاج الى تدخل سريع</v>
      </c>
      <c r="AR27" s="18" t="e">
        <f t="shared" si="9"/>
        <v>#DIV/0!</v>
      </c>
    </row>
    <row r="28" ht="15.75"/>
    <row r="58" spans="2:2">
      <c r="B58" s="3" t="e" cm="1">
        <f t="array" ref="B58">Q</f>
        <v>#NAME?</v>
      </c>
    </row>
  </sheetData>
  <mergeCells count="3">
    <mergeCell ref="A25:B25"/>
    <mergeCell ref="A27:B27"/>
    <mergeCell ref="A3:A4"/>
  </mergeCells>
  <conditionalFormatting sqref="AX6:BA6">
    <cfRule type="expression" dxfId="0" priority="2">
      <formula>"0&lt;40"</formula>
    </cfRule>
  </conditionalFormatting>
  <conditionalFormatting sqref="C26:AR26">
    <cfRule type="cellIs" dxfId="1" priority="1" operator="between">
      <formula>40</formula>
      <formula>50</formula>
    </cfRule>
    <cfRule type="cellIs" dxfId="2" priority="3" operator="greaterThan">
      <formula>70</formula>
    </cfRule>
    <cfRule type="cellIs" dxfId="3" priority="4" operator="between">
      <formula>60</formula>
      <formula>70</formula>
    </cfRule>
    <cfRule type="cellIs" dxfId="4" priority="5" operator="lessThan">
      <formula>40</formula>
    </cfRule>
    <cfRule type="cellIs" dxfId="5" priority="6" operator="between">
      <formula>50</formula>
      <formula>60</formula>
    </cfRule>
  </conditionalFormatting>
  <conditionalFormatting sqref="C27:AR27">
    <cfRule type="cellIs" dxfId="2" priority="7" operator="between">
      <formula>70</formula>
      <formula>100</formula>
    </cfRule>
  </conditionalFormatting>
  <conditionalFormatting sqref="C5:AP24">
    <cfRule type="cellIs" dxfId="6" priority="8" operator="between">
      <formula>1</formula>
      <formula>5</formula>
    </cfRule>
    <cfRule type="cellIs" dxfId="7" priority="9" operator="lessThan">
      <formula>1</formula>
    </cfRule>
    <cfRule type="containsText" dxfId="8" priority="10" operator="between" text="0">
      <formula>NOT(ISERROR(SEARCH("0",C5)))</formula>
    </cfRule>
    <cfRule type="containsText" dxfId="9" priority="11" operator="between" text="0">
      <formula>NOT(ISERROR(SEARCH("0",C5)))</formula>
    </cfRule>
    <cfRule type="containsText" dxfId="10" priority="12" operator="between" text="1">
      <formula>NOT(ISERROR(SEARCH("1",C5)))</formula>
    </cfRule>
    <cfRule type="containsText" dxfId="11" priority="13" operator="between" text="0">
      <formula>NOT(ISERROR(SEARCH("0",C5)))</formula>
    </cfRule>
  </conditionalFormatting>
  <pageMargins left="0.7" right="0.7" top="0.75" bottom="0.75" header="0.3" footer="0.3"/>
  <pageSetup paperSize="1" orientation="portrait"/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.14285714285714" defaultRowHeight="15"/>
  <sheetData/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C12" sqref="C12"/>
    </sheetView>
  </sheetViews>
  <sheetFormatPr defaultColWidth="9" defaultRowHeight="15" outlineLevelRow="7" outlineLevelCol="3"/>
  <cols>
    <col min="1" max="1" width="22.8952380952381" customWidth="1"/>
    <col min="4" max="4" width="19" customWidth="1"/>
  </cols>
  <sheetData>
    <row r="1" ht="23.25" spans="1:1">
      <c r="A1" s="1"/>
    </row>
    <row r="2" ht="23.25" spans="1:4">
      <c r="A2" s="1"/>
      <c r="D2" t="s">
        <v>152</v>
      </c>
    </row>
    <row r="3" ht="23.25" spans="1:4">
      <c r="A3" s="1"/>
      <c r="D3" s="2" t="s">
        <v>36</v>
      </c>
    </row>
    <row r="4" ht="23.25" spans="1:4">
      <c r="A4" s="1"/>
      <c r="D4" s="2" t="s">
        <v>35</v>
      </c>
    </row>
    <row r="5" ht="23.25" spans="1:4">
      <c r="A5" s="1"/>
      <c r="D5" s="2" t="s">
        <v>34</v>
      </c>
    </row>
    <row r="6" ht="23.25" spans="1:1">
      <c r="A6" s="1"/>
    </row>
    <row r="7" ht="23.25" spans="1:1">
      <c r="A7" s="1"/>
    </row>
    <row r="8" ht="23.25" spans="1:1">
      <c r="A8" s="1"/>
    </row>
  </sheetData>
  <pageMargins left="0.7" right="0.7" top="0.75" bottom="0.75" header="0.3" footer="0.3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الرئيسية</vt:lpstr>
      <vt:lpstr>صباحي ▏ ❺   </vt:lpstr>
      <vt:lpstr>مسائي ▏ ❺   </vt:lpstr>
      <vt:lpstr>صباحي ▏ ❻</vt:lpstr>
      <vt:lpstr>مسائي ▏ ❻</vt:lpstr>
      <vt:lpstr>صباحي ▏ ❼</vt:lpstr>
      <vt:lpstr>مسائي ▏ ❼</vt:lpstr>
      <vt:lpstr> صباحي ▏ ❽</vt:lpstr>
      <vt:lpstr> مسـائي ▏ ❽</vt:lpstr>
      <vt:lpstr>كـمياء❇️صباحي▏❾ </vt:lpstr>
      <vt:lpstr>فيزياء تاسع مسائى</vt:lpstr>
      <vt:lpstr>فيزياء 11 مسائى</vt:lpstr>
      <vt:lpstr>Sheet1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 hany elshamy</dc:creator>
  <cp:lastModifiedBy>windows</cp:lastModifiedBy>
  <dcterms:created xsi:type="dcterms:W3CDTF">2023-01-10T03:42:00Z</dcterms:created>
  <cp:lastPrinted>2026-01-29T20:41:00Z</cp:lastPrinted>
  <dcterms:modified xsi:type="dcterms:W3CDTF">2026-02-09T06:18:38Z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15af2f3-15c0-42f7-aff1-8120ca254967_Enabled">
    <vt:lpwstr>true</vt:lpwstr>
  </property>
  <property fmtid="{D5CDD505-2E9C-101B-9397-08002B2CF9AE}" pid="3" name="MSIP_Label_c15af2f3-15c0-42f7-aff1-8120ca254967_SetDate">
    <vt:lpwstr>2025-12-29T06:55:51Z</vt:lpwstr>
  </property>
  <property fmtid="{D5CDD505-2E9C-101B-9397-08002B2CF9AE}" pid="4" name="MSIP_Label_c15af2f3-15c0-42f7-aff1-8120ca254967_Method">
    <vt:lpwstr>Standard</vt:lpwstr>
  </property>
  <property fmtid="{D5CDD505-2E9C-101B-9397-08002B2CF9AE}" pid="5" name="MSIP_Label_c15af2f3-15c0-42f7-aff1-8120ca254967_Name">
    <vt:lpwstr>defa4170-0d19-0005-0004-bc88714345d2</vt:lpwstr>
  </property>
  <property fmtid="{D5CDD505-2E9C-101B-9397-08002B2CF9AE}" pid="6" name="MSIP_Label_c15af2f3-15c0-42f7-aff1-8120ca254967_SiteId">
    <vt:lpwstr>04b4cb5d-cc41-401f-bd9d-4ca8a31a5c2f</vt:lpwstr>
  </property>
  <property fmtid="{D5CDD505-2E9C-101B-9397-08002B2CF9AE}" pid="7" name="MSIP_Label_c15af2f3-15c0-42f7-aff1-8120ca254967_ActionId">
    <vt:lpwstr>63309597-a7e2-4821-9f3b-64bb3164fab2</vt:lpwstr>
  </property>
  <property fmtid="{D5CDD505-2E9C-101B-9397-08002B2CF9AE}" pid="8" name="MSIP_Label_c15af2f3-15c0-42f7-aff1-8120ca254967_ContentBits">
    <vt:lpwstr>0</vt:lpwstr>
  </property>
  <property fmtid="{D5CDD505-2E9C-101B-9397-08002B2CF9AE}" pid="9" name="MSIP_Label_c15af2f3-15c0-42f7-aff1-8120ca254967_Tag">
    <vt:lpwstr>10, 3, 0, 1</vt:lpwstr>
  </property>
  <property fmtid="{D5CDD505-2E9C-101B-9397-08002B2CF9AE}" pid="10" name="ICV">
    <vt:lpwstr>75EC59A863BD433684F3A4BE442AB78F_13</vt:lpwstr>
  </property>
  <property fmtid="{D5CDD505-2E9C-101B-9397-08002B2CF9AE}" pid="11" name="KSOProductBuildVer">
    <vt:lpwstr>1033-12.2.0.23196</vt:lpwstr>
  </property>
</Properties>
</file>